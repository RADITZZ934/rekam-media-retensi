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A5CA676B-FFE5-48B1-B7BD-F7CB55B036FD}" xr6:coauthVersionLast="47" xr6:coauthVersionMax="47" xr10:uidLastSave="{00000000-0000-0000-0000-000000000000}"/>
  <bookViews>
    <workbookView xWindow="-110" yWindow="-110" windowWidth="19420" windowHeight="11020" xr2:uid="{D57AB1FE-46BA-464B-BAC2-FFDD4F3E879A}"/>
  </bookViews>
  <sheets>
    <sheet name="Pengalihan asset" sheetId="1" r:id="rId1"/>
    <sheet name="Invc penjualan" sheetId="2" r:id="rId2"/>
  </sheets>
  <definedNames>
    <definedName name="_xlnm._FilterDatabase" localSheetId="1" hidden="1">'Invc penjualan'!$A$1:$R$37</definedName>
    <definedName name="_xlnm._FilterDatabase" localSheetId="0" hidden="1">'Pengalihan asset'!$A$1:$X$37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2" i="2"/>
  <c r="W37" i="1"/>
  <c r="U37" i="1"/>
  <c r="M37" i="1"/>
  <c r="N37" i="1"/>
  <c r="O37" i="1"/>
  <c r="P37" i="1"/>
  <c r="S37" i="1" s="1"/>
  <c r="I30" i="1"/>
  <c r="I31" i="1"/>
  <c r="I32" i="1"/>
  <c r="I33" i="1"/>
  <c r="I34" i="1"/>
  <c r="I35" i="1"/>
  <c r="I36" i="1"/>
  <c r="I37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M14" i="1"/>
  <c r="N14" i="1"/>
  <c r="O14" i="1"/>
  <c r="P14" i="1"/>
  <c r="S14" i="1" s="1"/>
  <c r="U14" i="1"/>
  <c r="W14" i="1"/>
  <c r="M15" i="1"/>
  <c r="N15" i="1"/>
  <c r="O15" i="1"/>
  <c r="P15" i="1"/>
  <c r="S15" i="1" s="1"/>
  <c r="U15" i="1"/>
  <c r="W15" i="1"/>
  <c r="M16" i="1"/>
  <c r="N16" i="1"/>
  <c r="O16" i="1"/>
  <c r="P16" i="1"/>
  <c r="S16" i="1" s="1"/>
  <c r="U16" i="1"/>
  <c r="W16" i="1"/>
  <c r="M17" i="1"/>
  <c r="N17" i="1"/>
  <c r="O17" i="1"/>
  <c r="P17" i="1"/>
  <c r="S17" i="1" s="1"/>
  <c r="U17" i="1"/>
  <c r="W17" i="1"/>
  <c r="M18" i="1"/>
  <c r="N18" i="1"/>
  <c r="O18" i="1"/>
  <c r="P18" i="1"/>
  <c r="S18" i="1" s="1"/>
  <c r="U18" i="1"/>
  <c r="W18" i="1"/>
  <c r="M19" i="1"/>
  <c r="N19" i="1"/>
  <c r="O19" i="1"/>
  <c r="P19" i="1"/>
  <c r="S19" i="1" s="1"/>
  <c r="U19" i="1"/>
  <c r="W19" i="1"/>
  <c r="M20" i="1"/>
  <c r="N20" i="1"/>
  <c r="O20" i="1"/>
  <c r="P20" i="1"/>
  <c r="S20" i="1" s="1"/>
  <c r="U20" i="1"/>
  <c r="W20" i="1"/>
  <c r="M21" i="1"/>
  <c r="N21" i="1"/>
  <c r="O21" i="1"/>
  <c r="P21" i="1"/>
  <c r="S21" i="1" s="1"/>
  <c r="U21" i="1"/>
  <c r="W21" i="1"/>
  <c r="M22" i="1"/>
  <c r="N22" i="1"/>
  <c r="O22" i="1"/>
  <c r="P22" i="1"/>
  <c r="S22" i="1" s="1"/>
  <c r="U22" i="1"/>
  <c r="W22" i="1"/>
  <c r="M23" i="1"/>
  <c r="N23" i="1"/>
  <c r="O23" i="1"/>
  <c r="P23" i="1"/>
  <c r="S23" i="1" s="1"/>
  <c r="U23" i="1"/>
  <c r="W23" i="1"/>
  <c r="M24" i="1"/>
  <c r="N24" i="1"/>
  <c r="O24" i="1"/>
  <c r="P24" i="1"/>
  <c r="S24" i="1" s="1"/>
  <c r="U24" i="1"/>
  <c r="W24" i="1"/>
  <c r="M25" i="1"/>
  <c r="N25" i="1"/>
  <c r="O25" i="1"/>
  <c r="P25" i="1"/>
  <c r="S25" i="1" s="1"/>
  <c r="U25" i="1"/>
  <c r="W25" i="1"/>
  <c r="M26" i="1"/>
  <c r="N26" i="1"/>
  <c r="O26" i="1"/>
  <c r="P26" i="1"/>
  <c r="S26" i="1" s="1"/>
  <c r="U26" i="1"/>
  <c r="W26" i="1"/>
  <c r="M27" i="1"/>
  <c r="N27" i="1"/>
  <c r="O27" i="1"/>
  <c r="P27" i="1"/>
  <c r="S27" i="1" s="1"/>
  <c r="U27" i="1"/>
  <c r="W27" i="1"/>
  <c r="M28" i="1"/>
  <c r="N28" i="1"/>
  <c r="O28" i="1"/>
  <c r="P28" i="1"/>
  <c r="S28" i="1" s="1"/>
  <c r="U28" i="1"/>
  <c r="W28" i="1"/>
  <c r="M29" i="1"/>
  <c r="N29" i="1"/>
  <c r="O29" i="1"/>
  <c r="P29" i="1"/>
  <c r="S29" i="1" s="1"/>
  <c r="U29" i="1"/>
  <c r="W29" i="1"/>
  <c r="M30" i="1"/>
  <c r="N30" i="1"/>
  <c r="O30" i="1"/>
  <c r="P30" i="1"/>
  <c r="S30" i="1" s="1"/>
  <c r="U30" i="1"/>
  <c r="W30" i="1"/>
  <c r="M31" i="1"/>
  <c r="N31" i="1"/>
  <c r="O31" i="1"/>
  <c r="P31" i="1"/>
  <c r="S31" i="1" s="1"/>
  <c r="U31" i="1"/>
  <c r="W31" i="1"/>
  <c r="M32" i="1"/>
  <c r="N32" i="1"/>
  <c r="O32" i="1"/>
  <c r="P32" i="1"/>
  <c r="S32" i="1" s="1"/>
  <c r="U32" i="1"/>
  <c r="W32" i="1"/>
  <c r="M33" i="1"/>
  <c r="N33" i="1"/>
  <c r="O33" i="1"/>
  <c r="P33" i="1"/>
  <c r="S33" i="1" s="1"/>
  <c r="U33" i="1"/>
  <c r="W33" i="1"/>
  <c r="M34" i="1"/>
  <c r="N34" i="1"/>
  <c r="O34" i="1"/>
  <c r="P34" i="1"/>
  <c r="S34" i="1" s="1"/>
  <c r="U34" i="1"/>
  <c r="W34" i="1"/>
  <c r="M35" i="1"/>
  <c r="N35" i="1"/>
  <c r="O35" i="1"/>
  <c r="P35" i="1"/>
  <c r="S35" i="1" s="1"/>
  <c r="U35" i="1"/>
  <c r="W35" i="1"/>
  <c r="M36" i="1"/>
  <c r="N36" i="1"/>
  <c r="O36" i="1"/>
  <c r="P36" i="1"/>
  <c r="S36" i="1" s="1"/>
  <c r="U36" i="1"/>
  <c r="W36" i="1"/>
  <c r="Y6" i="1"/>
  <c r="Y7" i="1"/>
  <c r="Y8" i="1"/>
  <c r="U3" i="1"/>
  <c r="W3" i="1"/>
  <c r="U4" i="1"/>
  <c r="W4" i="1"/>
  <c r="U5" i="1"/>
  <c r="W5" i="1"/>
  <c r="U6" i="1"/>
  <c r="W6" i="1"/>
  <c r="U7" i="1"/>
  <c r="W7" i="1"/>
  <c r="U8" i="1"/>
  <c r="W8" i="1"/>
  <c r="U9" i="1"/>
  <c r="W9" i="1"/>
  <c r="U10" i="1"/>
  <c r="W10" i="1"/>
  <c r="U11" i="1"/>
  <c r="W11" i="1"/>
  <c r="U12" i="1"/>
  <c r="W12" i="1"/>
  <c r="U13" i="1"/>
  <c r="W13" i="1"/>
  <c r="P12" i="1"/>
  <c r="S12" i="1" s="1"/>
  <c r="P13" i="1"/>
  <c r="S13" i="1" s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I3" i="1"/>
  <c r="I4" i="1"/>
  <c r="I5" i="1"/>
  <c r="I6" i="1"/>
  <c r="I7" i="1"/>
  <c r="I8" i="1"/>
  <c r="I9" i="1"/>
  <c r="I10" i="1"/>
  <c r="I11" i="1"/>
  <c r="I12" i="1"/>
  <c r="I13" i="1"/>
  <c r="M2" i="1"/>
  <c r="N2" i="1"/>
  <c r="O2" i="1"/>
  <c r="P2" i="1"/>
  <c r="S2" i="1" s="1"/>
  <c r="U2" i="1"/>
  <c r="W2" i="1"/>
  <c r="V2" i="1" l="1"/>
  <c r="V37" i="1"/>
  <c r="V36" i="1"/>
  <c r="V34" i="1"/>
  <c r="V32" i="1"/>
  <c r="V30" i="1"/>
  <c r="V28" i="1"/>
  <c r="V26" i="1"/>
  <c r="V24" i="1"/>
  <c r="V22" i="1"/>
  <c r="V20" i="1"/>
  <c r="V18" i="1"/>
  <c r="V15" i="1"/>
  <c r="V13" i="1"/>
  <c r="V35" i="1"/>
  <c r="V33" i="1"/>
  <c r="V31" i="1"/>
  <c r="V29" i="1"/>
  <c r="V27" i="1"/>
  <c r="V25" i="1"/>
  <c r="V23" i="1"/>
  <c r="V21" i="1"/>
  <c r="V19" i="1"/>
  <c r="V17" i="1"/>
  <c r="V16" i="1"/>
  <c r="V12" i="1"/>
  <c r="V14" i="1"/>
  <c r="I2" i="1"/>
  <c r="P3" i="1" l="1"/>
  <c r="P4" i="1"/>
  <c r="P5" i="1"/>
  <c r="P6" i="1"/>
  <c r="P7" i="1"/>
  <c r="P8" i="1"/>
  <c r="P9" i="1"/>
  <c r="P10" i="1"/>
  <c r="P11" i="1"/>
  <c r="S5" i="1" l="1"/>
  <c r="V5" i="1"/>
  <c r="S4" i="1"/>
  <c r="V4" i="1"/>
  <c r="S11" i="1"/>
  <c r="V11" i="1"/>
  <c r="S3" i="1"/>
  <c r="V3" i="1"/>
  <c r="S10" i="1"/>
  <c r="V10" i="1"/>
  <c r="S7" i="1"/>
  <c r="V7" i="1"/>
  <c r="S6" i="1"/>
  <c r="V6" i="1"/>
  <c r="S9" i="1"/>
  <c r="V9" i="1"/>
  <c r="S8" i="1"/>
  <c r="V8" i="1"/>
</calcChain>
</file>

<file path=xl/sharedStrings.xml><?xml version="1.0" encoding="utf-8"?>
<sst xmlns="http://schemas.openxmlformats.org/spreadsheetml/2006/main" count="361" uniqueCount="86">
  <si>
    <t>TGL RECEIVING</t>
  </si>
  <si>
    <t>NAMA ITEM</t>
  </si>
  <si>
    <t>KATEGORY</t>
  </si>
  <si>
    <t>UOM</t>
  </si>
  <si>
    <t>QTY TERIMA</t>
  </si>
  <si>
    <t>Information Technology</t>
  </si>
  <si>
    <t>ASET</t>
  </si>
  <si>
    <t>PCS</t>
  </si>
  <si>
    <t>SCAM IN HIK DS - 2CD76D0T-LPF SECOND</t>
  </si>
  <si>
    <t>SJ NUMBER</t>
  </si>
  <si>
    <t>KODE STORE</t>
  </si>
  <si>
    <t>NAME STORE</t>
  </si>
  <si>
    <t>KODE PRODUK</t>
  </si>
  <si>
    <t>HARGA</t>
  </si>
  <si>
    <t>TGL KIRIM</t>
  </si>
  <si>
    <t>QTY KIRIM</t>
  </si>
  <si>
    <t>TOTAL KIRIM</t>
  </si>
  <si>
    <t>TGL TERIMA</t>
  </si>
  <si>
    <t>TOTAL TERIMA</t>
  </si>
  <si>
    <t>TGL</t>
  </si>
  <si>
    <t>AUDIT</t>
  </si>
  <si>
    <t xml:space="preserve">CABANG </t>
  </si>
  <si>
    <t>PIC BARANG</t>
  </si>
  <si>
    <t>AUDIT 1</t>
  </si>
  <si>
    <t>LBI</t>
  </si>
  <si>
    <t>TOTAL HARGA BELI</t>
  </si>
  <si>
    <t>HARGA BELI</t>
  </si>
  <si>
    <t>NAMA TUJUAN</t>
  </si>
  <si>
    <t>NAMA DARI</t>
  </si>
  <si>
    <t xml:space="preserve">KETERANGAN </t>
  </si>
  <si>
    <t>PENGALIHAN KE</t>
  </si>
  <si>
    <t>BISA DI JUAL</t>
  </si>
  <si>
    <t>NB : pengiriman aset bersamaan pengiriman kertas</t>
  </si>
  <si>
    <t>QTY</t>
  </si>
  <si>
    <t>REMBANG</t>
  </si>
  <si>
    <t>TIMBANGAN DIGI SM 100 CHINA SECOND</t>
  </si>
  <si>
    <t>TIMBANGAN DIGI ACAS SECOND</t>
  </si>
  <si>
    <t>MADIUN 2</t>
  </si>
  <si>
    <t>KERANJANG MINIMARKET MIRANI SECOND</t>
  </si>
  <si>
    <t>TUBAN</t>
  </si>
  <si>
    <t>SCAM IN HILOOK THC-T120-PS AUDIO</t>
  </si>
  <si>
    <t>MA4180</t>
  </si>
  <si>
    <t>STAVOLT MATSUNAGA 1000V SECOND</t>
  </si>
  <si>
    <t>TIMBANGAN DIGI SM 100P SECOND</t>
  </si>
  <si>
    <t>PRINTER KASSEN SECOND</t>
  </si>
  <si>
    <t>KEYBOARD LOGITECH SECOND</t>
  </si>
  <si>
    <t>BARCODE SCANNER OMNI SECOND</t>
  </si>
  <si>
    <t>DVR HIK 8CH DS-7208HQHI SECOND</t>
  </si>
  <si>
    <t>HDD 1 TB SECOND</t>
  </si>
  <si>
    <t>TV COOCA SECOND</t>
  </si>
  <si>
    <t>PC CORE i3 2120 SECOND</t>
  </si>
  <si>
    <t>OPERASIONAL</t>
  </si>
  <si>
    <t>PERLU REPAIR</t>
  </si>
  <si>
    <t>BARAT</t>
  </si>
  <si>
    <t>MONITOR MSI PRO MP 235V SECOND</t>
  </si>
  <si>
    <t>MONITOR XIAOMI A22i SECOND</t>
  </si>
  <si>
    <t>PRINTER STRUK OIWARE SECOND</t>
  </si>
  <si>
    <t>SCANNER CD-680 CODESHOP SECOND</t>
  </si>
  <si>
    <t>STAVOLT SAMOTO AVR1000M MU SECOND</t>
  </si>
  <si>
    <t>PRINTER EPSON L121 SECOND</t>
  </si>
  <si>
    <t>TIMBANGAN DUDUK FORTERA SECOND</t>
  </si>
  <si>
    <t>TIMBANGAN DIGITAL ACAS SECOND</t>
  </si>
  <si>
    <t>SCAM OUT HIK DS-2CE16DOTLPF SECOND</t>
  </si>
  <si>
    <t>SCAM IN HIK ANALOG NON AUDIO SECOND</t>
  </si>
  <si>
    <t>SCAM IN HILOOK THCT120-PS AUDIO SECOND</t>
  </si>
  <si>
    <t>SCAM OUT HIK ANALOG NON AUDIO SECOND</t>
  </si>
  <si>
    <t>PC CORE I3 3240 SECOND</t>
  </si>
  <si>
    <t>DLANGGU MOJOKERTO</t>
  </si>
  <si>
    <t>JOMBANG KOTA 1</t>
  </si>
  <si>
    <t>TIMBANGAN DIGITAL MINATO SECOND</t>
  </si>
  <si>
    <t>MONITOR LG 19 INCH SECOND</t>
  </si>
  <si>
    <t>MOUSE KEYBOARD LOGITECH MK120 SECOND</t>
  </si>
  <si>
    <t>SCANNER CD680 CODESHOP SECOND</t>
  </si>
  <si>
    <t>MONEY DETECTOR PROMAXI SECOND</t>
  </si>
  <si>
    <t>TIMBANGAN DIGI SM100 SECOND</t>
  </si>
  <si>
    <t>PRAMBON 1</t>
  </si>
  <si>
    <t>NGANJUK 2</t>
  </si>
  <si>
    <t>JO202607284199</t>
  </si>
  <si>
    <t>JO202607094003</t>
  </si>
  <si>
    <t>JO202608044234</t>
  </si>
  <si>
    <t>BLORA 5</t>
  </si>
  <si>
    <t>MA3498</t>
  </si>
  <si>
    <t>SUKORAME</t>
  </si>
  <si>
    <t>TAMBAKROMO</t>
  </si>
  <si>
    <t>SCAM IN HIK ANALOG NON AUDIO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</si>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</sst>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421]* #,##0_-;\-[$Rp-421]* #,##0_-;_-[$Rp-421]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2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2" fontId="0" fillId="0" borderId="2" xfId="0" applyNumberFormat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42" fontId="2" fillId="6" borderId="2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42" fontId="3" fillId="0" borderId="1" xfId="0" applyNumberFormat="1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/>
    <xf numFmtId="42" fontId="3" fillId="0" borderId="2" xfId="0" applyNumberFormat="1" applyFont="1" applyFill="1" applyBorder="1"/>
    <xf numFmtId="14" fontId="3" fillId="0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2" fontId="3" fillId="0" borderId="3" xfId="0" applyNumberFormat="1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wrapText="1"/>
    </xf>
    <xf numFmtId="42" fontId="3" fillId="0" borderId="5" xfId="0" applyNumberFormat="1" applyFont="1" applyFill="1" applyBorder="1" applyAlignment="1">
      <alignment vertical="center" wrapText="1"/>
    </xf>
    <xf numFmtId="14" fontId="3" fillId="0" borderId="5" xfId="0" applyNumberFormat="1" applyFont="1" applyFill="1" applyBorder="1" applyAlignment="1">
      <alignment horizontal="center" vertical="center" wrapText="1"/>
    </xf>
    <xf numFmtId="42" fontId="3" fillId="0" borderId="7" xfId="0" applyNumberFormat="1" applyFont="1" applyFill="1" applyBorder="1" applyAlignment="1">
      <alignment vertical="center" wrapText="1"/>
    </xf>
    <xf numFmtId="0" fontId="6" fillId="0" borderId="2" xfId="1" applyFont="1" applyFill="1" applyBorder="1"/>
    <xf numFmtId="14" fontId="3" fillId="0" borderId="3" xfId="0" applyNumberFormat="1" applyFont="1" applyFill="1" applyBorder="1" applyAlignment="1">
      <alignment horizontal="center" vertical="center" wrapText="1"/>
    </xf>
    <xf numFmtId="42" fontId="3" fillId="0" borderId="4" xfId="0" applyNumberFormat="1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2" fontId="3" fillId="0" borderId="2" xfId="0" applyNumberFormat="1" applyFont="1" applyFill="1" applyBorder="1" applyAlignment="1">
      <alignment vertical="center" wrapText="1"/>
    </xf>
    <xf numFmtId="0" fontId="0" fillId="0" borderId="0" xfId="0" applyAlignment="1"/>
    <xf numFmtId="0" fontId="3" fillId="0" borderId="5" xfId="0" applyFont="1" applyFill="1" applyBorder="1" applyAlignment="1">
      <alignment horizontal="left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42" fontId="3" fillId="0" borderId="2" xfId="0" applyNumberFormat="1" applyFont="1" applyBorder="1"/>
    <xf numFmtId="14" fontId="3" fillId="0" borderId="10" xfId="0" applyNumberFormat="1" applyFont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14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3" fillId="0" borderId="1" xfId="0" applyNumberFormat="1" applyFont="1" applyFill="1" applyBorder="1" applyAlignment="1">
      <alignment horizontal="left" vertical="center"/>
    </xf>
    <xf numFmtId="0" fontId="7" fillId="0" borderId="5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42" fontId="3" fillId="0" borderId="5" xfId="0" applyNumberFormat="1" applyFont="1" applyBorder="1" applyAlignment="1">
      <alignment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3" fillId="0" borderId="6" xfId="0" applyFont="1" applyBorder="1" applyAlignment="1">
      <alignment horizontal="center" vertical="center"/>
    </xf>
    <xf numFmtId="42" fontId="3" fillId="0" borderId="6" xfId="0" applyNumberFormat="1" applyFont="1" applyBorder="1" applyAlignment="1">
      <alignment vertical="center" wrapText="1"/>
    </xf>
    <xf numFmtId="42" fontId="0" fillId="0" borderId="6" xfId="0" applyNumberFormat="1" applyBorder="1"/>
    <xf numFmtId="0" fontId="0" fillId="2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0" borderId="2" xfId="0" applyFont="1" applyBorder="1"/>
    <xf numFmtId="42" fontId="7" fillId="0" borderId="2" xfId="0" applyNumberFormat="1" applyFont="1" applyBorder="1" applyAlignment="1">
      <alignment vertical="center" wrapText="1"/>
    </xf>
    <xf numFmtId="42" fontId="7" fillId="0" borderId="2" xfId="0" applyNumberFormat="1" applyFont="1" applyBorder="1"/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Border="1"/>
    <xf numFmtId="42" fontId="7" fillId="0" borderId="6" xfId="0" applyNumberFormat="1" applyFont="1" applyBorder="1"/>
    <xf numFmtId="0" fontId="0" fillId="0" borderId="6" xfId="0" applyBorder="1" applyAlignment="1"/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  <xf numFmtId="42" fontId="0" fillId="0" borderId="2" xfId="0" applyNumberFormat="1" applyFill="1" applyBorder="1"/>
  </cellXfs>
  <cellStyles count="2">
    <cellStyle name="Normal" xfId="0" builtinId="0"/>
    <cellStyle name="Normal 4" xfId="1" xr:uid="{2BBBCC5B-D34E-4EFD-8D84-A51B7A0D05E5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7230-9E6D-4D2D-A808-4D879B960F8F}">
  <dimension ref="A1:Y44"/>
  <sheetViews>
    <sheetView tabSelected="1" zoomScale="74" zoomScaleNormal="100" workbookViewId="0">
      <selection activeCell="M15" sqref="M15"/>
    </sheetView>
  </sheetViews>
  <sheetFormatPr defaultRowHeight="14.5" x14ac:dyDescent="0.35"/>
  <cols>
    <col min="1" max="1" width="14.1796875" bestFit="1" customWidth="1"/>
    <col min="2" max="2" width="19.6328125" bestFit="1" customWidth="1"/>
    <col min="3" max="3" width="20.54296875" bestFit="1" customWidth="1"/>
    <col min="4" max="4" width="39.26953125" bestFit="1" customWidth="1"/>
    <col min="5" max="5" width="12.54296875" bestFit="1" customWidth="1"/>
    <col min="6" max="6" width="6.08984375" bestFit="1" customWidth="1"/>
    <col min="7" max="7" width="12.1796875" bestFit="1" customWidth="1"/>
    <col min="8" max="8" width="10" bestFit="1" customWidth="1"/>
    <col min="9" max="9" width="19.90625" bestFit="1" customWidth="1"/>
    <col min="10" max="10" width="20.6328125" customWidth="1"/>
    <col min="11" max="11" width="19.36328125" style="49" bestFit="1" customWidth="1"/>
    <col min="12" max="12" width="12.26953125" style="49" hidden="1" customWidth="1"/>
    <col min="13" max="13" width="35.1796875" style="49" bestFit="1" customWidth="1"/>
    <col min="14" max="14" width="11" style="49" bestFit="1" customWidth="1"/>
    <col min="15" max="15" width="14.08984375" style="49" bestFit="1" customWidth="1"/>
    <col min="16" max="16" width="12.90625" style="49" bestFit="1" customWidth="1"/>
    <col min="17" max="17" width="12.90625" style="49" customWidth="1"/>
    <col min="18" max="18" width="13.08984375" style="49" bestFit="1" customWidth="1"/>
    <col min="19" max="19" width="17.90625" style="49" bestFit="1" customWidth="1"/>
    <col min="20" max="20" width="15.453125" style="49" bestFit="1" customWidth="1"/>
    <col min="21" max="21" width="15.54296875" style="49" bestFit="1" customWidth="1"/>
    <col min="22" max="22" width="20.26953125" style="49" bestFit="1" customWidth="1"/>
    <col min="23" max="24" width="8.7265625" style="49"/>
    <col min="25" max="25" width="15.90625" style="49" bestFit="1" customWidth="1"/>
    <col min="26" max="16384" width="8.7265625" style="92"/>
  </cols>
  <sheetData>
    <row r="1" spans="1:25" s="91" customFormat="1" ht="16" customHeight="1" x14ac:dyDescent="0.35">
      <c r="A1" s="5" t="s">
        <v>0</v>
      </c>
      <c r="B1" s="5" t="s">
        <v>28</v>
      </c>
      <c r="C1" s="5" t="s">
        <v>27</v>
      </c>
      <c r="D1" s="5" t="s">
        <v>1</v>
      </c>
      <c r="E1" s="5" t="s">
        <v>2</v>
      </c>
      <c r="F1" s="5" t="s">
        <v>3</v>
      </c>
      <c r="G1" s="5" t="s">
        <v>26</v>
      </c>
      <c r="H1" s="5" t="s">
        <v>33</v>
      </c>
      <c r="I1" s="6" t="s">
        <v>25</v>
      </c>
      <c r="J1" s="19" t="s">
        <v>29</v>
      </c>
      <c r="K1" s="22" t="s">
        <v>30</v>
      </c>
      <c r="L1" s="12" t="s">
        <v>12</v>
      </c>
      <c r="M1" s="9" t="s">
        <v>1</v>
      </c>
      <c r="N1" s="12" t="s">
        <v>3</v>
      </c>
      <c r="O1" s="12" t="s">
        <v>2</v>
      </c>
      <c r="P1" s="14" t="s">
        <v>13</v>
      </c>
      <c r="Q1" s="13" t="s">
        <v>14</v>
      </c>
      <c r="R1" s="12" t="s">
        <v>33</v>
      </c>
      <c r="S1" s="14" t="s">
        <v>16</v>
      </c>
      <c r="T1" s="13" t="s">
        <v>17</v>
      </c>
      <c r="U1" s="12" t="s">
        <v>4</v>
      </c>
      <c r="V1" s="15" t="s">
        <v>18</v>
      </c>
      <c r="W1" s="16" t="s">
        <v>19</v>
      </c>
      <c r="X1" s="12" t="s">
        <v>20</v>
      </c>
      <c r="Y1" s="90" t="s">
        <v>22</v>
      </c>
    </row>
    <row r="2" spans="1:25" s="91" customFormat="1" ht="16" customHeight="1" x14ac:dyDescent="0.35">
      <c r="A2" s="35">
        <v>46239</v>
      </c>
      <c r="B2" s="35" t="s">
        <v>37</v>
      </c>
      <c r="C2" s="31" t="s">
        <v>5</v>
      </c>
      <c r="D2" s="3" t="s">
        <v>42</v>
      </c>
      <c r="E2" s="56" t="s">
        <v>6</v>
      </c>
      <c r="F2" s="31" t="s">
        <v>7</v>
      </c>
      <c r="G2" s="21">
        <v>235000</v>
      </c>
      <c r="H2" s="56">
        <v>1</v>
      </c>
      <c r="I2" s="4">
        <f>G2*H2</f>
        <v>235000</v>
      </c>
      <c r="J2" s="20" t="s">
        <v>31</v>
      </c>
      <c r="K2" s="23" t="s">
        <v>5</v>
      </c>
      <c r="L2" s="1"/>
      <c r="M2" s="58" t="str">
        <f>D2</f>
        <v>STAVOLT MATSUNAGA 1000V SECOND</v>
      </c>
      <c r="N2" s="7" t="str">
        <f>F2</f>
        <v>PCS</v>
      </c>
      <c r="O2" s="1" t="str">
        <f>E2</f>
        <v>ASET</v>
      </c>
      <c r="P2" s="4">
        <f>G2</f>
        <v>235000</v>
      </c>
      <c r="Q2" s="2">
        <v>46239</v>
      </c>
      <c r="R2" s="1">
        <v>1</v>
      </c>
      <c r="S2" s="4">
        <f>P2*R2</f>
        <v>235000</v>
      </c>
      <c r="T2" s="2">
        <v>46239</v>
      </c>
      <c r="U2" s="1">
        <f>R2</f>
        <v>1</v>
      </c>
      <c r="V2" s="8">
        <f>U2*P2</f>
        <v>235000</v>
      </c>
      <c r="W2" s="17">
        <f>IFERROR(DAY(T2),"")</f>
        <v>5</v>
      </c>
      <c r="X2" s="18" t="s">
        <v>23</v>
      </c>
      <c r="Y2" s="7"/>
    </row>
    <row r="3" spans="1:25" s="91" customFormat="1" ht="16" customHeight="1" x14ac:dyDescent="0.35">
      <c r="A3" s="35">
        <v>46239</v>
      </c>
      <c r="B3" s="35" t="s">
        <v>37</v>
      </c>
      <c r="C3" s="31" t="s">
        <v>5</v>
      </c>
      <c r="D3" s="3" t="s">
        <v>43</v>
      </c>
      <c r="E3" s="57" t="s">
        <v>6</v>
      </c>
      <c r="F3" s="31" t="s">
        <v>7</v>
      </c>
      <c r="G3" s="4">
        <v>3000000</v>
      </c>
      <c r="H3" s="57">
        <v>1</v>
      </c>
      <c r="I3" s="4">
        <f t="shared" ref="I3:I29" si="0">G3*H3</f>
        <v>3000000</v>
      </c>
      <c r="J3" s="20" t="s">
        <v>31</v>
      </c>
      <c r="K3" s="23" t="s">
        <v>5</v>
      </c>
      <c r="L3" s="1"/>
      <c r="M3" s="58" t="str">
        <f t="shared" ref="M3:M13" si="1">D3</f>
        <v>TIMBANGAN DIGI SM 100P SECOND</v>
      </c>
      <c r="N3" s="7" t="str">
        <f t="shared" ref="N3:N13" si="2">F3</f>
        <v>PCS</v>
      </c>
      <c r="O3" s="1" t="str">
        <f t="shared" ref="O3:O13" si="3">E3</f>
        <v>ASET</v>
      </c>
      <c r="P3" s="4">
        <f t="shared" ref="P3:P13" si="4">G3</f>
        <v>3000000</v>
      </c>
      <c r="Q3" s="2">
        <v>46239</v>
      </c>
      <c r="R3" s="1">
        <v>1</v>
      </c>
      <c r="S3" s="4">
        <f t="shared" ref="S3:S13" si="5">P3*R3</f>
        <v>3000000</v>
      </c>
      <c r="T3" s="2">
        <v>46239</v>
      </c>
      <c r="U3" s="1">
        <f t="shared" ref="U3:U13" si="6">R3</f>
        <v>1</v>
      </c>
      <c r="V3" s="8">
        <f t="shared" ref="V3:V13" si="7">U3*P3</f>
        <v>3000000</v>
      </c>
      <c r="W3" s="17">
        <f t="shared" ref="W3:W13" si="8">IFERROR(DAY(T3),"")</f>
        <v>5</v>
      </c>
      <c r="X3" s="18" t="s">
        <v>23</v>
      </c>
      <c r="Y3" s="7"/>
    </row>
    <row r="4" spans="1:25" s="91" customFormat="1" ht="16" customHeight="1" x14ac:dyDescent="0.35">
      <c r="A4" s="35">
        <v>46239</v>
      </c>
      <c r="B4" s="35" t="s">
        <v>37</v>
      </c>
      <c r="C4" s="31" t="s">
        <v>5</v>
      </c>
      <c r="D4" s="3" t="s">
        <v>36</v>
      </c>
      <c r="E4" s="57" t="s">
        <v>6</v>
      </c>
      <c r="F4" s="31" t="s">
        <v>7</v>
      </c>
      <c r="G4" s="4">
        <v>70000</v>
      </c>
      <c r="H4" s="57">
        <v>1</v>
      </c>
      <c r="I4" s="4">
        <f t="shared" si="0"/>
        <v>70000</v>
      </c>
      <c r="J4" s="20" t="s">
        <v>31</v>
      </c>
      <c r="K4" s="23" t="s">
        <v>5</v>
      </c>
      <c r="L4" s="1"/>
      <c r="M4" s="58" t="str">
        <f t="shared" si="1"/>
        <v>TIMBANGAN DIGI ACAS SECOND</v>
      </c>
      <c r="N4" s="7" t="str">
        <f t="shared" si="2"/>
        <v>PCS</v>
      </c>
      <c r="O4" s="1" t="str">
        <f t="shared" si="3"/>
        <v>ASET</v>
      </c>
      <c r="P4" s="4">
        <f t="shared" si="4"/>
        <v>70000</v>
      </c>
      <c r="Q4" s="2">
        <v>46239</v>
      </c>
      <c r="R4" s="1">
        <v>1</v>
      </c>
      <c r="S4" s="4">
        <f t="shared" si="5"/>
        <v>70000</v>
      </c>
      <c r="T4" s="2">
        <v>46239</v>
      </c>
      <c r="U4" s="1">
        <f t="shared" si="6"/>
        <v>1</v>
      </c>
      <c r="V4" s="8">
        <f t="shared" si="7"/>
        <v>70000</v>
      </c>
      <c r="W4" s="17">
        <f t="shared" si="8"/>
        <v>5</v>
      </c>
      <c r="X4" s="18" t="s">
        <v>23</v>
      </c>
      <c r="Y4" s="7"/>
    </row>
    <row r="5" spans="1:25" s="91" customFormat="1" ht="16" customHeight="1" x14ac:dyDescent="0.35">
      <c r="A5" s="35">
        <v>46239</v>
      </c>
      <c r="B5" s="35" t="s">
        <v>37</v>
      </c>
      <c r="C5" s="31" t="s">
        <v>5</v>
      </c>
      <c r="D5" s="3" t="s">
        <v>44</v>
      </c>
      <c r="E5" s="57" t="s">
        <v>6</v>
      </c>
      <c r="F5" s="31" t="s">
        <v>7</v>
      </c>
      <c r="G5" s="4">
        <v>367000</v>
      </c>
      <c r="H5" s="57">
        <v>1</v>
      </c>
      <c r="I5" s="4">
        <f t="shared" si="0"/>
        <v>367000</v>
      </c>
      <c r="J5" s="20" t="s">
        <v>31</v>
      </c>
      <c r="K5" s="23" t="s">
        <v>5</v>
      </c>
      <c r="L5" s="1"/>
      <c r="M5" s="58" t="str">
        <f t="shared" si="1"/>
        <v>PRINTER KASSEN SECOND</v>
      </c>
      <c r="N5" s="7" t="str">
        <f t="shared" si="2"/>
        <v>PCS</v>
      </c>
      <c r="O5" s="1" t="str">
        <f t="shared" si="3"/>
        <v>ASET</v>
      </c>
      <c r="P5" s="4">
        <f t="shared" si="4"/>
        <v>367000</v>
      </c>
      <c r="Q5" s="2">
        <v>46239</v>
      </c>
      <c r="R5" s="1">
        <v>1</v>
      </c>
      <c r="S5" s="4">
        <f t="shared" si="5"/>
        <v>367000</v>
      </c>
      <c r="T5" s="2">
        <v>46239</v>
      </c>
      <c r="U5" s="1">
        <f t="shared" si="6"/>
        <v>1</v>
      </c>
      <c r="V5" s="8">
        <f t="shared" si="7"/>
        <v>367000</v>
      </c>
      <c r="W5" s="17">
        <f t="shared" si="8"/>
        <v>5</v>
      </c>
      <c r="X5" s="18" t="s">
        <v>23</v>
      </c>
      <c r="Y5" s="7"/>
    </row>
    <row r="6" spans="1:25" s="91" customFormat="1" ht="16" customHeight="1" x14ac:dyDescent="0.35">
      <c r="A6" s="35">
        <v>46239</v>
      </c>
      <c r="B6" s="35" t="s">
        <v>37</v>
      </c>
      <c r="C6" s="31" t="s">
        <v>5</v>
      </c>
      <c r="D6" s="3" t="s">
        <v>45</v>
      </c>
      <c r="E6" s="57" t="s">
        <v>51</v>
      </c>
      <c r="F6" s="31" t="s">
        <v>7</v>
      </c>
      <c r="G6" s="4">
        <v>70000</v>
      </c>
      <c r="H6" s="57">
        <v>1</v>
      </c>
      <c r="I6" s="4">
        <f t="shared" si="0"/>
        <v>70000</v>
      </c>
      <c r="J6" s="20" t="s">
        <v>31</v>
      </c>
      <c r="K6" s="23" t="s">
        <v>53</v>
      </c>
      <c r="L6" s="1"/>
      <c r="M6" s="58" t="str">
        <f t="shared" si="1"/>
        <v>KEYBOARD LOGITECH SECOND</v>
      </c>
      <c r="N6" s="7" t="str">
        <f t="shared" si="2"/>
        <v>PCS</v>
      </c>
      <c r="O6" s="1" t="str">
        <f t="shared" si="3"/>
        <v>OPERASIONAL</v>
      </c>
      <c r="P6" s="4">
        <f t="shared" si="4"/>
        <v>70000</v>
      </c>
      <c r="Q6" s="2">
        <v>46239</v>
      </c>
      <c r="R6" s="1">
        <v>1</v>
      </c>
      <c r="S6" s="4">
        <f t="shared" si="5"/>
        <v>70000</v>
      </c>
      <c r="T6" s="2">
        <v>46239</v>
      </c>
      <c r="U6" s="1">
        <f t="shared" si="6"/>
        <v>1</v>
      </c>
      <c r="V6" s="8">
        <f t="shared" si="7"/>
        <v>70000</v>
      </c>
      <c r="W6" s="17">
        <f t="shared" si="8"/>
        <v>5</v>
      </c>
      <c r="X6" s="18" t="s">
        <v>23</v>
      </c>
      <c r="Y6" s="7" t="str">
        <f t="shared" ref="Y3:Y13" si="9">K6</f>
        <v>BARAT</v>
      </c>
    </row>
    <row r="7" spans="1:25" s="91" customFormat="1" ht="16" customHeight="1" x14ac:dyDescent="0.35">
      <c r="A7" s="35">
        <v>46239</v>
      </c>
      <c r="B7" s="35" t="s">
        <v>37</v>
      </c>
      <c r="C7" s="31" t="s">
        <v>5</v>
      </c>
      <c r="D7" s="3" t="s">
        <v>54</v>
      </c>
      <c r="E7" s="57" t="s">
        <v>6</v>
      </c>
      <c r="F7" s="31" t="s">
        <v>7</v>
      </c>
      <c r="G7" s="4">
        <v>650000</v>
      </c>
      <c r="H7" s="57">
        <v>1</v>
      </c>
      <c r="I7" s="4">
        <f t="shared" si="0"/>
        <v>650000</v>
      </c>
      <c r="J7" s="20" t="s">
        <v>31</v>
      </c>
      <c r="K7" s="23" t="s">
        <v>53</v>
      </c>
      <c r="L7" s="1"/>
      <c r="M7" s="58" t="str">
        <f t="shared" si="1"/>
        <v>MONITOR MSI PRO MP 235V SECOND</v>
      </c>
      <c r="N7" s="7" t="str">
        <f t="shared" si="2"/>
        <v>PCS</v>
      </c>
      <c r="O7" s="1" t="str">
        <f t="shared" si="3"/>
        <v>ASET</v>
      </c>
      <c r="P7" s="4">
        <f t="shared" si="4"/>
        <v>650000</v>
      </c>
      <c r="Q7" s="2">
        <v>46239</v>
      </c>
      <c r="R7" s="1">
        <v>1</v>
      </c>
      <c r="S7" s="4">
        <f t="shared" si="5"/>
        <v>650000</v>
      </c>
      <c r="T7" s="2">
        <v>46239</v>
      </c>
      <c r="U7" s="1">
        <f t="shared" si="6"/>
        <v>1</v>
      </c>
      <c r="V7" s="8">
        <f t="shared" si="7"/>
        <v>650000</v>
      </c>
      <c r="W7" s="17">
        <f t="shared" si="8"/>
        <v>5</v>
      </c>
      <c r="X7" s="18" t="s">
        <v>23</v>
      </c>
      <c r="Y7" s="7" t="str">
        <f t="shared" si="9"/>
        <v>BARAT</v>
      </c>
    </row>
    <row r="8" spans="1:25" s="91" customFormat="1" ht="16" customHeight="1" x14ac:dyDescent="0.35">
      <c r="A8" s="35">
        <v>46239</v>
      </c>
      <c r="B8" s="35" t="s">
        <v>37</v>
      </c>
      <c r="C8" s="31" t="s">
        <v>5</v>
      </c>
      <c r="D8" s="3" t="s">
        <v>46</v>
      </c>
      <c r="E8" s="57" t="s">
        <v>6</v>
      </c>
      <c r="F8" s="31" t="s">
        <v>7</v>
      </c>
      <c r="G8" s="4">
        <v>350000</v>
      </c>
      <c r="H8" s="57">
        <v>1</v>
      </c>
      <c r="I8" s="4">
        <f t="shared" si="0"/>
        <v>350000</v>
      </c>
      <c r="J8" s="20" t="s">
        <v>31</v>
      </c>
      <c r="K8" s="23" t="s">
        <v>53</v>
      </c>
      <c r="L8" s="1"/>
      <c r="M8" s="58" t="str">
        <f t="shared" si="1"/>
        <v>BARCODE SCANNER OMNI SECOND</v>
      </c>
      <c r="N8" s="7" t="str">
        <f t="shared" si="2"/>
        <v>PCS</v>
      </c>
      <c r="O8" s="1" t="str">
        <f t="shared" si="3"/>
        <v>ASET</v>
      </c>
      <c r="P8" s="4">
        <f t="shared" si="4"/>
        <v>350000</v>
      </c>
      <c r="Q8" s="2">
        <v>46239</v>
      </c>
      <c r="R8" s="1">
        <v>1</v>
      </c>
      <c r="S8" s="4">
        <f t="shared" si="5"/>
        <v>350000</v>
      </c>
      <c r="T8" s="2">
        <v>46239</v>
      </c>
      <c r="U8" s="1">
        <f t="shared" si="6"/>
        <v>1</v>
      </c>
      <c r="V8" s="8">
        <f t="shared" si="7"/>
        <v>350000</v>
      </c>
      <c r="W8" s="17">
        <f t="shared" si="8"/>
        <v>5</v>
      </c>
      <c r="X8" s="18" t="s">
        <v>23</v>
      </c>
      <c r="Y8" s="7" t="str">
        <f t="shared" si="9"/>
        <v>BARAT</v>
      </c>
    </row>
    <row r="9" spans="1:25" s="91" customFormat="1" ht="16" customHeight="1" x14ac:dyDescent="0.35">
      <c r="A9" s="35">
        <v>46239</v>
      </c>
      <c r="B9" s="35" t="s">
        <v>37</v>
      </c>
      <c r="C9" s="31" t="s">
        <v>5</v>
      </c>
      <c r="D9" s="3" t="s">
        <v>47</v>
      </c>
      <c r="E9" s="57" t="s">
        <v>6</v>
      </c>
      <c r="F9" s="31" t="s">
        <v>7</v>
      </c>
      <c r="G9" s="4">
        <v>900000</v>
      </c>
      <c r="H9" s="57">
        <v>1</v>
      </c>
      <c r="I9" s="4">
        <f t="shared" si="0"/>
        <v>900000</v>
      </c>
      <c r="J9" s="20" t="s">
        <v>31</v>
      </c>
      <c r="K9" s="23" t="s">
        <v>5</v>
      </c>
      <c r="L9" s="1"/>
      <c r="M9" s="58" t="str">
        <f t="shared" si="1"/>
        <v>DVR HIK 8CH DS-7208HQHI SECOND</v>
      </c>
      <c r="N9" s="7" t="str">
        <f t="shared" si="2"/>
        <v>PCS</v>
      </c>
      <c r="O9" s="1" t="str">
        <f t="shared" si="3"/>
        <v>ASET</v>
      </c>
      <c r="P9" s="4">
        <f t="shared" si="4"/>
        <v>900000</v>
      </c>
      <c r="Q9" s="2">
        <v>46239</v>
      </c>
      <c r="R9" s="1">
        <v>1</v>
      </c>
      <c r="S9" s="4">
        <f t="shared" si="5"/>
        <v>900000</v>
      </c>
      <c r="T9" s="2">
        <v>46239</v>
      </c>
      <c r="U9" s="1">
        <f t="shared" si="6"/>
        <v>1</v>
      </c>
      <c r="V9" s="8">
        <f t="shared" si="7"/>
        <v>900000</v>
      </c>
      <c r="W9" s="17">
        <f t="shared" si="8"/>
        <v>5</v>
      </c>
      <c r="X9" s="18" t="s">
        <v>23</v>
      </c>
      <c r="Y9" s="7"/>
    </row>
    <row r="10" spans="1:25" s="91" customFormat="1" ht="16" customHeight="1" x14ac:dyDescent="0.35">
      <c r="A10" s="35">
        <v>46239</v>
      </c>
      <c r="B10" s="35" t="s">
        <v>37</v>
      </c>
      <c r="C10" s="31" t="s">
        <v>5</v>
      </c>
      <c r="D10" s="66" t="s">
        <v>48</v>
      </c>
      <c r="E10" s="71" t="s">
        <v>6</v>
      </c>
      <c r="F10" s="31" t="s">
        <v>7</v>
      </c>
      <c r="G10" s="68">
        <v>300000</v>
      </c>
      <c r="H10" s="71">
        <v>1</v>
      </c>
      <c r="I10" s="4">
        <f t="shared" si="0"/>
        <v>300000</v>
      </c>
      <c r="J10" s="20" t="s">
        <v>31</v>
      </c>
      <c r="K10" s="23" t="s">
        <v>5</v>
      </c>
      <c r="L10" s="67"/>
      <c r="M10" s="58" t="str">
        <f t="shared" si="1"/>
        <v>HDD 1 TB SECOND</v>
      </c>
      <c r="N10" s="7" t="str">
        <f t="shared" si="2"/>
        <v>PCS</v>
      </c>
      <c r="O10" s="1" t="str">
        <f t="shared" si="3"/>
        <v>ASET</v>
      </c>
      <c r="P10" s="68">
        <f t="shared" si="4"/>
        <v>300000</v>
      </c>
      <c r="Q10" s="2">
        <v>46239</v>
      </c>
      <c r="R10" s="1">
        <v>1</v>
      </c>
      <c r="S10" s="4">
        <f t="shared" si="5"/>
        <v>300000</v>
      </c>
      <c r="T10" s="2">
        <v>46239</v>
      </c>
      <c r="U10" s="1">
        <f t="shared" si="6"/>
        <v>1</v>
      </c>
      <c r="V10" s="8">
        <f t="shared" si="7"/>
        <v>300000</v>
      </c>
      <c r="W10" s="17">
        <f t="shared" si="8"/>
        <v>5</v>
      </c>
      <c r="X10" s="18" t="s">
        <v>23</v>
      </c>
      <c r="Y10" s="7"/>
    </row>
    <row r="11" spans="1:25" s="91" customFormat="1" ht="16" customHeight="1" x14ac:dyDescent="0.35">
      <c r="A11" s="35">
        <v>46239</v>
      </c>
      <c r="B11" s="35" t="s">
        <v>37</v>
      </c>
      <c r="C11" s="62" t="s">
        <v>5</v>
      </c>
      <c r="D11" s="81" t="s">
        <v>8</v>
      </c>
      <c r="E11" s="74" t="s">
        <v>6</v>
      </c>
      <c r="F11" s="31" t="s">
        <v>7</v>
      </c>
      <c r="G11" s="82">
        <v>280000</v>
      </c>
      <c r="H11" s="74">
        <v>3</v>
      </c>
      <c r="I11" s="4">
        <f t="shared" si="0"/>
        <v>840000</v>
      </c>
      <c r="J11" s="20" t="s">
        <v>31</v>
      </c>
      <c r="K11" s="23" t="s">
        <v>5</v>
      </c>
      <c r="L11" s="73"/>
      <c r="M11" s="58" t="str">
        <f t="shared" si="1"/>
        <v>SCAM IN HIK DS - 2CD76D0T-LPF SECOND</v>
      </c>
      <c r="N11" s="7" t="str">
        <f t="shared" si="2"/>
        <v>PCS</v>
      </c>
      <c r="O11" s="1" t="str">
        <f t="shared" si="3"/>
        <v>ASET</v>
      </c>
      <c r="P11" s="77">
        <f t="shared" si="4"/>
        <v>280000</v>
      </c>
      <c r="Q11" s="2">
        <v>46239</v>
      </c>
      <c r="R11" s="1">
        <v>3</v>
      </c>
      <c r="S11" s="4">
        <f t="shared" si="5"/>
        <v>840000</v>
      </c>
      <c r="T11" s="2">
        <v>46239</v>
      </c>
      <c r="U11" s="1">
        <f t="shared" si="6"/>
        <v>3</v>
      </c>
      <c r="V11" s="8">
        <f t="shared" si="7"/>
        <v>840000</v>
      </c>
      <c r="W11" s="17">
        <f t="shared" si="8"/>
        <v>5</v>
      </c>
      <c r="X11" s="18" t="s">
        <v>23</v>
      </c>
      <c r="Y11" s="7"/>
    </row>
    <row r="12" spans="1:25" x14ac:dyDescent="0.35">
      <c r="A12" s="35">
        <v>46239</v>
      </c>
      <c r="B12" s="35" t="s">
        <v>37</v>
      </c>
      <c r="C12" s="62" t="s">
        <v>5</v>
      </c>
      <c r="D12" s="81" t="s">
        <v>49</v>
      </c>
      <c r="E12" s="74" t="s">
        <v>6</v>
      </c>
      <c r="F12" s="31" t="s">
        <v>7</v>
      </c>
      <c r="G12" s="83">
        <v>1128000</v>
      </c>
      <c r="H12" s="7">
        <v>1</v>
      </c>
      <c r="I12" s="4">
        <f t="shared" si="0"/>
        <v>1128000</v>
      </c>
      <c r="J12" s="20" t="s">
        <v>31</v>
      </c>
      <c r="K12" s="23" t="s">
        <v>5</v>
      </c>
      <c r="L12" s="75"/>
      <c r="M12" s="58" t="str">
        <f t="shared" si="1"/>
        <v>TV COOCA SECOND</v>
      </c>
      <c r="N12" s="7" t="str">
        <f t="shared" si="2"/>
        <v>PCS</v>
      </c>
      <c r="O12" s="1" t="str">
        <f t="shared" si="3"/>
        <v>ASET</v>
      </c>
      <c r="P12" s="68">
        <f t="shared" si="4"/>
        <v>1128000</v>
      </c>
      <c r="Q12" s="2">
        <v>46239</v>
      </c>
      <c r="R12" s="1">
        <v>1</v>
      </c>
      <c r="S12" s="4">
        <f t="shared" si="5"/>
        <v>1128000</v>
      </c>
      <c r="T12" s="2">
        <v>46239</v>
      </c>
      <c r="U12" s="1">
        <f t="shared" si="6"/>
        <v>1</v>
      </c>
      <c r="V12" s="8">
        <f t="shared" si="7"/>
        <v>1128000</v>
      </c>
      <c r="W12" s="17">
        <f t="shared" si="8"/>
        <v>5</v>
      </c>
      <c r="X12" s="18" t="s">
        <v>23</v>
      </c>
      <c r="Y12" s="7"/>
    </row>
    <row r="13" spans="1:25" x14ac:dyDescent="0.35">
      <c r="A13" s="40">
        <v>46239</v>
      </c>
      <c r="B13" s="40" t="s">
        <v>37</v>
      </c>
      <c r="C13" s="84" t="s">
        <v>5</v>
      </c>
      <c r="D13" s="85" t="s">
        <v>50</v>
      </c>
      <c r="E13" s="76" t="s">
        <v>6</v>
      </c>
      <c r="F13" s="36" t="s">
        <v>7</v>
      </c>
      <c r="G13" s="86">
        <v>775000</v>
      </c>
      <c r="H13" s="72">
        <v>1</v>
      </c>
      <c r="I13" s="68">
        <f t="shared" si="0"/>
        <v>775000</v>
      </c>
      <c r="J13" s="69" t="s">
        <v>52</v>
      </c>
      <c r="K13" s="70" t="s">
        <v>5</v>
      </c>
      <c r="L13" s="87"/>
      <c r="M13" s="88" t="str">
        <f t="shared" si="1"/>
        <v>PC CORE i3 2120 SECOND</v>
      </c>
      <c r="N13" s="72" t="str">
        <f t="shared" si="2"/>
        <v>PCS</v>
      </c>
      <c r="O13" s="89" t="str">
        <f t="shared" si="3"/>
        <v>ASET</v>
      </c>
      <c r="P13" s="77">
        <f t="shared" si="4"/>
        <v>775000</v>
      </c>
      <c r="Q13" s="2">
        <v>46239</v>
      </c>
      <c r="R13" s="67">
        <v>1</v>
      </c>
      <c r="S13" s="68">
        <f t="shared" si="5"/>
        <v>775000</v>
      </c>
      <c r="T13" s="2">
        <v>46239</v>
      </c>
      <c r="U13" s="67">
        <f t="shared" si="6"/>
        <v>1</v>
      </c>
      <c r="V13" s="78">
        <f t="shared" si="7"/>
        <v>775000</v>
      </c>
      <c r="W13" s="79">
        <f t="shared" si="8"/>
        <v>5</v>
      </c>
      <c r="X13" s="80" t="s">
        <v>23</v>
      </c>
      <c r="Y13" s="7"/>
    </row>
    <row r="14" spans="1:25" x14ac:dyDescent="0.35">
      <c r="A14" s="35">
        <v>46239</v>
      </c>
      <c r="B14" s="59" t="s">
        <v>67</v>
      </c>
      <c r="C14" s="62" t="s">
        <v>5</v>
      </c>
      <c r="D14" s="93" t="s">
        <v>55</v>
      </c>
      <c r="E14" s="94" t="s">
        <v>6</v>
      </c>
      <c r="F14" s="31" t="s">
        <v>7</v>
      </c>
      <c r="G14" s="95">
        <v>950000</v>
      </c>
      <c r="H14" s="7">
        <v>1</v>
      </c>
      <c r="I14" s="4">
        <f t="shared" si="0"/>
        <v>950000</v>
      </c>
      <c r="J14" s="20" t="s">
        <v>31</v>
      </c>
      <c r="K14" s="70" t="s">
        <v>5</v>
      </c>
      <c r="L14" s="75"/>
      <c r="M14" s="58" t="str">
        <f t="shared" ref="M14:M36" si="10">D14</f>
        <v>MONITOR XIAOMI A22i SECOND</v>
      </c>
      <c r="N14" s="7" t="str">
        <f t="shared" ref="N14:N36" si="11">F14</f>
        <v>PCS</v>
      </c>
      <c r="O14" s="1" t="str">
        <f t="shared" ref="O14:O36" si="12">E14</f>
        <v>ASET</v>
      </c>
      <c r="P14" s="68">
        <f t="shared" ref="P14:P36" si="13">G14</f>
        <v>950000</v>
      </c>
      <c r="Q14" s="2">
        <v>46239</v>
      </c>
      <c r="R14" s="1">
        <v>1</v>
      </c>
      <c r="S14" s="4">
        <f t="shared" ref="S14:S37" si="14">P14*R14</f>
        <v>950000</v>
      </c>
      <c r="T14" s="2">
        <v>46239</v>
      </c>
      <c r="U14" s="1">
        <f t="shared" ref="U14:U37" si="15">R14</f>
        <v>1</v>
      </c>
      <c r="V14" s="8">
        <f t="shared" ref="V14:V36" si="16">U14*P14</f>
        <v>950000</v>
      </c>
      <c r="W14" s="17">
        <f t="shared" ref="W14:W36" si="17">IFERROR(DAY(T14),"")</f>
        <v>5</v>
      </c>
      <c r="X14" s="18" t="s">
        <v>23</v>
      </c>
      <c r="Y14" s="7"/>
    </row>
    <row r="15" spans="1:25" x14ac:dyDescent="0.35">
      <c r="A15" s="40">
        <v>46239</v>
      </c>
      <c r="B15" s="59" t="s">
        <v>67</v>
      </c>
      <c r="C15" s="62" t="s">
        <v>5</v>
      </c>
      <c r="D15" s="93" t="s">
        <v>56</v>
      </c>
      <c r="E15" s="94" t="s">
        <v>6</v>
      </c>
      <c r="F15" s="36" t="s">
        <v>7</v>
      </c>
      <c r="G15" s="95">
        <v>500000</v>
      </c>
      <c r="H15" s="7">
        <v>1</v>
      </c>
      <c r="I15" s="68">
        <f t="shared" si="0"/>
        <v>500000</v>
      </c>
      <c r="J15" s="20" t="s">
        <v>31</v>
      </c>
      <c r="K15" s="70" t="s">
        <v>5</v>
      </c>
      <c r="L15" s="75"/>
      <c r="M15" s="88" t="str">
        <f t="shared" si="10"/>
        <v>PRINTER STRUK OIWARE SECOND</v>
      </c>
      <c r="N15" s="72" t="str">
        <f t="shared" si="11"/>
        <v>PCS</v>
      </c>
      <c r="O15" s="89" t="str">
        <f t="shared" si="12"/>
        <v>ASET</v>
      </c>
      <c r="P15" s="77">
        <f t="shared" si="13"/>
        <v>500000</v>
      </c>
      <c r="Q15" s="2">
        <v>46239</v>
      </c>
      <c r="R15" s="67">
        <v>1</v>
      </c>
      <c r="S15" s="68">
        <f t="shared" si="14"/>
        <v>500000</v>
      </c>
      <c r="T15" s="2">
        <v>46239</v>
      </c>
      <c r="U15" s="67">
        <f t="shared" si="15"/>
        <v>1</v>
      </c>
      <c r="V15" s="78">
        <f t="shared" si="16"/>
        <v>500000</v>
      </c>
      <c r="W15" s="79">
        <f t="shared" si="17"/>
        <v>5</v>
      </c>
      <c r="X15" s="80" t="s">
        <v>23</v>
      </c>
      <c r="Y15" s="7"/>
    </row>
    <row r="16" spans="1:25" x14ac:dyDescent="0.35">
      <c r="A16" s="35">
        <v>46239</v>
      </c>
      <c r="B16" s="59" t="s">
        <v>67</v>
      </c>
      <c r="C16" s="84" t="s">
        <v>5</v>
      </c>
      <c r="D16" s="93" t="s">
        <v>57</v>
      </c>
      <c r="E16" s="94" t="s">
        <v>6</v>
      </c>
      <c r="F16" s="31" t="s">
        <v>7</v>
      </c>
      <c r="G16" s="95">
        <v>783000</v>
      </c>
      <c r="H16" s="7">
        <v>1</v>
      </c>
      <c r="I16" s="4">
        <f t="shared" si="0"/>
        <v>783000</v>
      </c>
      <c r="J16" s="20" t="s">
        <v>31</v>
      </c>
      <c r="K16" s="70" t="s">
        <v>5</v>
      </c>
      <c r="L16" s="75"/>
      <c r="M16" s="58" t="str">
        <f t="shared" si="10"/>
        <v>SCANNER CD-680 CODESHOP SECOND</v>
      </c>
      <c r="N16" s="7" t="str">
        <f t="shared" si="11"/>
        <v>PCS</v>
      </c>
      <c r="O16" s="1" t="str">
        <f t="shared" si="12"/>
        <v>ASET</v>
      </c>
      <c r="P16" s="68">
        <f t="shared" si="13"/>
        <v>783000</v>
      </c>
      <c r="Q16" s="2">
        <v>46239</v>
      </c>
      <c r="R16" s="1">
        <v>1</v>
      </c>
      <c r="S16" s="4">
        <f t="shared" si="14"/>
        <v>783000</v>
      </c>
      <c r="T16" s="2">
        <v>46239</v>
      </c>
      <c r="U16" s="1">
        <f t="shared" si="15"/>
        <v>1</v>
      </c>
      <c r="V16" s="8">
        <f t="shared" si="16"/>
        <v>783000</v>
      </c>
      <c r="W16" s="17">
        <f t="shared" si="17"/>
        <v>5</v>
      </c>
      <c r="X16" s="18" t="s">
        <v>23</v>
      </c>
      <c r="Y16" s="7"/>
    </row>
    <row r="17" spans="1:25" x14ac:dyDescent="0.35">
      <c r="A17" s="40">
        <v>46239</v>
      </c>
      <c r="B17" s="59" t="s">
        <v>67</v>
      </c>
      <c r="C17" s="62" t="s">
        <v>5</v>
      </c>
      <c r="D17" s="93" t="s">
        <v>58</v>
      </c>
      <c r="E17" s="94" t="s">
        <v>6</v>
      </c>
      <c r="F17" s="36" t="s">
        <v>7</v>
      </c>
      <c r="G17" s="95">
        <v>540000</v>
      </c>
      <c r="H17" s="7">
        <v>1</v>
      </c>
      <c r="I17" s="68">
        <f t="shared" si="0"/>
        <v>540000</v>
      </c>
      <c r="J17" s="20" t="s">
        <v>31</v>
      </c>
      <c r="K17" s="70" t="s">
        <v>5</v>
      </c>
      <c r="L17" s="75"/>
      <c r="M17" s="88" t="str">
        <f t="shared" si="10"/>
        <v>STAVOLT SAMOTO AVR1000M MU SECOND</v>
      </c>
      <c r="N17" s="72" t="str">
        <f t="shared" si="11"/>
        <v>PCS</v>
      </c>
      <c r="O17" s="89" t="str">
        <f t="shared" si="12"/>
        <v>ASET</v>
      </c>
      <c r="P17" s="77">
        <f t="shared" si="13"/>
        <v>540000</v>
      </c>
      <c r="Q17" s="2">
        <v>46239</v>
      </c>
      <c r="R17" s="67">
        <v>1</v>
      </c>
      <c r="S17" s="68">
        <f t="shared" si="14"/>
        <v>540000</v>
      </c>
      <c r="T17" s="2">
        <v>46239</v>
      </c>
      <c r="U17" s="67">
        <f t="shared" si="15"/>
        <v>1</v>
      </c>
      <c r="V17" s="78">
        <f t="shared" si="16"/>
        <v>540000</v>
      </c>
      <c r="W17" s="79">
        <f t="shared" si="17"/>
        <v>5</v>
      </c>
      <c r="X17" s="80" t="s">
        <v>23</v>
      </c>
      <c r="Y17" s="7"/>
    </row>
    <row r="18" spans="1:25" x14ac:dyDescent="0.35">
      <c r="A18" s="35">
        <v>46239</v>
      </c>
      <c r="B18" s="59" t="s">
        <v>67</v>
      </c>
      <c r="C18" s="62" t="s">
        <v>5</v>
      </c>
      <c r="D18" s="93" t="s">
        <v>48</v>
      </c>
      <c r="E18" s="94" t="s">
        <v>6</v>
      </c>
      <c r="F18" s="31" t="s">
        <v>7</v>
      </c>
      <c r="G18" s="95">
        <v>420000</v>
      </c>
      <c r="H18" s="7">
        <v>1</v>
      </c>
      <c r="I18" s="4">
        <f t="shared" si="0"/>
        <v>420000</v>
      </c>
      <c r="J18" s="20" t="s">
        <v>31</v>
      </c>
      <c r="K18" s="70" t="s">
        <v>5</v>
      </c>
      <c r="L18" s="75"/>
      <c r="M18" s="58" t="str">
        <f t="shared" si="10"/>
        <v>HDD 1 TB SECOND</v>
      </c>
      <c r="N18" s="7" t="str">
        <f t="shared" si="11"/>
        <v>PCS</v>
      </c>
      <c r="O18" s="1" t="str">
        <f t="shared" si="12"/>
        <v>ASET</v>
      </c>
      <c r="P18" s="68">
        <f t="shared" si="13"/>
        <v>420000</v>
      </c>
      <c r="Q18" s="2">
        <v>46239</v>
      </c>
      <c r="R18" s="1">
        <v>1</v>
      </c>
      <c r="S18" s="4">
        <f t="shared" si="14"/>
        <v>420000</v>
      </c>
      <c r="T18" s="2">
        <v>46239</v>
      </c>
      <c r="U18" s="1">
        <f t="shared" si="15"/>
        <v>1</v>
      </c>
      <c r="V18" s="8">
        <f t="shared" si="16"/>
        <v>420000</v>
      </c>
      <c r="W18" s="17">
        <f t="shared" si="17"/>
        <v>5</v>
      </c>
      <c r="X18" s="18" t="s">
        <v>23</v>
      </c>
      <c r="Y18" s="7"/>
    </row>
    <row r="19" spans="1:25" x14ac:dyDescent="0.35">
      <c r="A19" s="40">
        <v>46239</v>
      </c>
      <c r="B19" s="59" t="s">
        <v>67</v>
      </c>
      <c r="C19" s="84" t="s">
        <v>5</v>
      </c>
      <c r="D19" s="93" t="s">
        <v>47</v>
      </c>
      <c r="E19" s="94" t="s">
        <v>6</v>
      </c>
      <c r="F19" s="36" t="s">
        <v>7</v>
      </c>
      <c r="G19" s="95">
        <v>1410000</v>
      </c>
      <c r="H19" s="7">
        <v>1</v>
      </c>
      <c r="I19" s="68">
        <f t="shared" si="0"/>
        <v>1410000</v>
      </c>
      <c r="J19" s="20" t="s">
        <v>31</v>
      </c>
      <c r="K19" s="70" t="s">
        <v>5</v>
      </c>
      <c r="L19" s="75"/>
      <c r="M19" s="88" t="str">
        <f t="shared" si="10"/>
        <v>DVR HIK 8CH DS-7208HQHI SECOND</v>
      </c>
      <c r="N19" s="72" t="str">
        <f t="shared" si="11"/>
        <v>PCS</v>
      </c>
      <c r="O19" s="89" t="str">
        <f t="shared" si="12"/>
        <v>ASET</v>
      </c>
      <c r="P19" s="77">
        <f t="shared" si="13"/>
        <v>1410000</v>
      </c>
      <c r="Q19" s="2">
        <v>46239</v>
      </c>
      <c r="R19" s="67">
        <v>1</v>
      </c>
      <c r="S19" s="68">
        <f t="shared" si="14"/>
        <v>1410000</v>
      </c>
      <c r="T19" s="2">
        <v>46239</v>
      </c>
      <c r="U19" s="67">
        <f t="shared" si="15"/>
        <v>1</v>
      </c>
      <c r="V19" s="78">
        <f t="shared" si="16"/>
        <v>1410000</v>
      </c>
      <c r="W19" s="79">
        <f t="shared" si="17"/>
        <v>5</v>
      </c>
      <c r="X19" s="80" t="s">
        <v>23</v>
      </c>
      <c r="Y19" s="7"/>
    </row>
    <row r="20" spans="1:25" x14ac:dyDescent="0.35">
      <c r="A20" s="35">
        <v>46239</v>
      </c>
      <c r="B20" s="59" t="s">
        <v>67</v>
      </c>
      <c r="C20" s="62" t="s">
        <v>5</v>
      </c>
      <c r="D20" s="93" t="s">
        <v>59</v>
      </c>
      <c r="E20" s="94" t="s">
        <v>6</v>
      </c>
      <c r="F20" s="31" t="s">
        <v>7</v>
      </c>
      <c r="G20" s="95">
        <v>1400000</v>
      </c>
      <c r="H20" s="7">
        <v>1</v>
      </c>
      <c r="I20" s="4">
        <f t="shared" si="0"/>
        <v>1400000</v>
      </c>
      <c r="J20" s="20" t="s">
        <v>31</v>
      </c>
      <c r="K20" s="70" t="s">
        <v>5</v>
      </c>
      <c r="L20" s="75"/>
      <c r="M20" s="58" t="str">
        <f t="shared" si="10"/>
        <v>PRINTER EPSON L121 SECOND</v>
      </c>
      <c r="N20" s="7" t="str">
        <f t="shared" si="11"/>
        <v>PCS</v>
      </c>
      <c r="O20" s="1" t="str">
        <f t="shared" si="12"/>
        <v>ASET</v>
      </c>
      <c r="P20" s="68">
        <f t="shared" si="13"/>
        <v>1400000</v>
      </c>
      <c r="Q20" s="2">
        <v>46239</v>
      </c>
      <c r="R20" s="1">
        <v>1</v>
      </c>
      <c r="S20" s="4">
        <f t="shared" si="14"/>
        <v>1400000</v>
      </c>
      <c r="T20" s="2">
        <v>46239</v>
      </c>
      <c r="U20" s="1">
        <f t="shared" si="15"/>
        <v>1</v>
      </c>
      <c r="V20" s="8">
        <f t="shared" si="16"/>
        <v>1400000</v>
      </c>
      <c r="W20" s="17">
        <f t="shared" si="17"/>
        <v>5</v>
      </c>
      <c r="X20" s="18" t="s">
        <v>23</v>
      </c>
      <c r="Y20" s="7"/>
    </row>
    <row r="21" spans="1:25" x14ac:dyDescent="0.35">
      <c r="A21" s="40">
        <v>46239</v>
      </c>
      <c r="B21" s="59" t="s">
        <v>67</v>
      </c>
      <c r="C21" s="62" t="s">
        <v>5</v>
      </c>
      <c r="D21" s="93" t="s">
        <v>60</v>
      </c>
      <c r="E21" s="94" t="s">
        <v>6</v>
      </c>
      <c r="F21" s="36" t="s">
        <v>7</v>
      </c>
      <c r="G21" s="95">
        <v>720000</v>
      </c>
      <c r="H21" s="7">
        <v>1</v>
      </c>
      <c r="I21" s="68">
        <f t="shared" si="0"/>
        <v>720000</v>
      </c>
      <c r="J21" s="20" t="s">
        <v>31</v>
      </c>
      <c r="K21" s="70" t="s">
        <v>5</v>
      </c>
      <c r="L21" s="75"/>
      <c r="M21" s="88" t="str">
        <f t="shared" si="10"/>
        <v>TIMBANGAN DUDUK FORTERA SECOND</v>
      </c>
      <c r="N21" s="72" t="str">
        <f t="shared" si="11"/>
        <v>PCS</v>
      </c>
      <c r="O21" s="89" t="str">
        <f t="shared" si="12"/>
        <v>ASET</v>
      </c>
      <c r="P21" s="77">
        <f t="shared" si="13"/>
        <v>720000</v>
      </c>
      <c r="Q21" s="2">
        <v>46239</v>
      </c>
      <c r="R21" s="67">
        <v>1</v>
      </c>
      <c r="S21" s="68">
        <f t="shared" si="14"/>
        <v>720000</v>
      </c>
      <c r="T21" s="2">
        <v>46239</v>
      </c>
      <c r="U21" s="67">
        <f t="shared" si="15"/>
        <v>1</v>
      </c>
      <c r="V21" s="78">
        <f t="shared" si="16"/>
        <v>720000</v>
      </c>
      <c r="W21" s="79">
        <f t="shared" si="17"/>
        <v>5</v>
      </c>
      <c r="X21" s="80" t="s">
        <v>23</v>
      </c>
      <c r="Y21" s="7"/>
    </row>
    <row r="22" spans="1:25" x14ac:dyDescent="0.35">
      <c r="A22" s="35">
        <v>46239</v>
      </c>
      <c r="B22" s="59" t="s">
        <v>67</v>
      </c>
      <c r="C22" s="84" t="s">
        <v>5</v>
      </c>
      <c r="D22" s="93" t="s">
        <v>61</v>
      </c>
      <c r="E22" s="94" t="s">
        <v>6</v>
      </c>
      <c r="F22" s="31" t="s">
        <v>7</v>
      </c>
      <c r="G22" s="95">
        <v>156000</v>
      </c>
      <c r="H22" s="7">
        <v>1</v>
      </c>
      <c r="I22" s="4">
        <f t="shared" si="0"/>
        <v>156000</v>
      </c>
      <c r="J22" s="20" t="s">
        <v>31</v>
      </c>
      <c r="K22" s="70" t="s">
        <v>5</v>
      </c>
      <c r="L22" s="75"/>
      <c r="M22" s="58" t="str">
        <f t="shared" si="10"/>
        <v>TIMBANGAN DIGITAL ACAS SECOND</v>
      </c>
      <c r="N22" s="7" t="str">
        <f t="shared" si="11"/>
        <v>PCS</v>
      </c>
      <c r="O22" s="1" t="str">
        <f t="shared" si="12"/>
        <v>ASET</v>
      </c>
      <c r="P22" s="68">
        <f t="shared" si="13"/>
        <v>156000</v>
      </c>
      <c r="Q22" s="2">
        <v>46239</v>
      </c>
      <c r="R22" s="1">
        <v>1</v>
      </c>
      <c r="S22" s="4">
        <f t="shared" si="14"/>
        <v>156000</v>
      </c>
      <c r="T22" s="2">
        <v>46239</v>
      </c>
      <c r="U22" s="1">
        <f t="shared" si="15"/>
        <v>1</v>
      </c>
      <c r="V22" s="8">
        <f t="shared" si="16"/>
        <v>156000</v>
      </c>
      <c r="W22" s="17">
        <f t="shared" si="17"/>
        <v>5</v>
      </c>
      <c r="X22" s="18" t="s">
        <v>23</v>
      </c>
      <c r="Y22" s="7"/>
    </row>
    <row r="23" spans="1:25" x14ac:dyDescent="0.35">
      <c r="A23" s="40">
        <v>46239</v>
      </c>
      <c r="B23" s="59" t="s">
        <v>67</v>
      </c>
      <c r="C23" s="62" t="s">
        <v>5</v>
      </c>
      <c r="D23" s="93" t="s">
        <v>38</v>
      </c>
      <c r="E23" s="94" t="s">
        <v>6</v>
      </c>
      <c r="F23" s="36" t="s">
        <v>7</v>
      </c>
      <c r="G23" s="95">
        <v>25000</v>
      </c>
      <c r="H23" s="7">
        <v>15</v>
      </c>
      <c r="I23" s="68">
        <v>25000</v>
      </c>
      <c r="J23" s="20" t="s">
        <v>31</v>
      </c>
      <c r="K23" s="70" t="s">
        <v>5</v>
      </c>
      <c r="L23" s="75"/>
      <c r="M23" s="88" t="str">
        <f t="shared" si="10"/>
        <v>KERANJANG MINIMARKET MIRANI SECOND</v>
      </c>
      <c r="N23" s="72" t="str">
        <f t="shared" si="11"/>
        <v>PCS</v>
      </c>
      <c r="O23" s="89" t="str">
        <f t="shared" si="12"/>
        <v>ASET</v>
      </c>
      <c r="P23" s="77">
        <f t="shared" si="13"/>
        <v>25000</v>
      </c>
      <c r="Q23" s="2">
        <v>46239</v>
      </c>
      <c r="R23" s="67">
        <v>15</v>
      </c>
      <c r="S23" s="68">
        <f t="shared" si="14"/>
        <v>375000</v>
      </c>
      <c r="T23" s="2">
        <v>46239</v>
      </c>
      <c r="U23" s="67">
        <f t="shared" si="15"/>
        <v>15</v>
      </c>
      <c r="V23" s="78">
        <f t="shared" si="16"/>
        <v>375000</v>
      </c>
      <c r="W23" s="79">
        <f t="shared" si="17"/>
        <v>5</v>
      </c>
      <c r="X23" s="80" t="s">
        <v>23</v>
      </c>
      <c r="Y23" s="7"/>
    </row>
    <row r="24" spans="1:25" x14ac:dyDescent="0.35">
      <c r="A24" s="35">
        <v>46239</v>
      </c>
      <c r="B24" s="59" t="s">
        <v>67</v>
      </c>
      <c r="C24" s="62" t="s">
        <v>5</v>
      </c>
      <c r="D24" s="93" t="s">
        <v>62</v>
      </c>
      <c r="E24" s="94" t="s">
        <v>6</v>
      </c>
      <c r="F24" s="31" t="s">
        <v>7</v>
      </c>
      <c r="G24" s="95">
        <v>320000</v>
      </c>
      <c r="H24" s="7">
        <v>1</v>
      </c>
      <c r="I24" s="4">
        <f t="shared" si="0"/>
        <v>320000</v>
      </c>
      <c r="J24" s="20" t="s">
        <v>31</v>
      </c>
      <c r="K24" s="70" t="s">
        <v>5</v>
      </c>
      <c r="L24" s="75"/>
      <c r="M24" s="58" t="str">
        <f t="shared" si="10"/>
        <v>SCAM OUT HIK DS-2CE16DOTLPF SECOND</v>
      </c>
      <c r="N24" s="7" t="str">
        <f t="shared" si="11"/>
        <v>PCS</v>
      </c>
      <c r="O24" s="1" t="str">
        <f t="shared" si="12"/>
        <v>ASET</v>
      </c>
      <c r="P24" s="68">
        <f t="shared" si="13"/>
        <v>320000</v>
      </c>
      <c r="Q24" s="2">
        <v>46239</v>
      </c>
      <c r="R24" s="1">
        <v>1</v>
      </c>
      <c r="S24" s="4">
        <f t="shared" si="14"/>
        <v>320000</v>
      </c>
      <c r="T24" s="2">
        <v>46239</v>
      </c>
      <c r="U24" s="1">
        <f t="shared" si="15"/>
        <v>1</v>
      </c>
      <c r="V24" s="8">
        <f t="shared" si="16"/>
        <v>320000</v>
      </c>
      <c r="W24" s="17">
        <f t="shared" si="17"/>
        <v>5</v>
      </c>
      <c r="X24" s="18" t="s">
        <v>23</v>
      </c>
      <c r="Y24" s="7"/>
    </row>
    <row r="25" spans="1:25" x14ac:dyDescent="0.35">
      <c r="A25" s="40">
        <v>46239</v>
      </c>
      <c r="B25" s="59" t="s">
        <v>67</v>
      </c>
      <c r="C25" s="84" t="s">
        <v>5</v>
      </c>
      <c r="D25" s="59" t="s">
        <v>63</v>
      </c>
      <c r="E25" s="7" t="s">
        <v>6</v>
      </c>
      <c r="F25" s="36" t="s">
        <v>7</v>
      </c>
      <c r="G25" s="8">
        <v>200000</v>
      </c>
      <c r="H25" s="7">
        <v>1</v>
      </c>
      <c r="I25" s="68">
        <f t="shared" si="0"/>
        <v>200000</v>
      </c>
      <c r="J25" s="20" t="s">
        <v>31</v>
      </c>
      <c r="K25" s="70" t="s">
        <v>5</v>
      </c>
      <c r="L25" s="75"/>
      <c r="M25" s="88" t="str">
        <f t="shared" si="10"/>
        <v>SCAM IN HIK ANALOG NON AUDIO SECOND</v>
      </c>
      <c r="N25" s="72" t="str">
        <f t="shared" si="11"/>
        <v>PCS</v>
      </c>
      <c r="O25" s="89" t="str">
        <f t="shared" si="12"/>
        <v>ASET</v>
      </c>
      <c r="P25" s="77">
        <f t="shared" si="13"/>
        <v>200000</v>
      </c>
      <c r="Q25" s="2">
        <v>46239</v>
      </c>
      <c r="R25" s="67">
        <v>1</v>
      </c>
      <c r="S25" s="68">
        <f t="shared" si="14"/>
        <v>200000</v>
      </c>
      <c r="T25" s="2">
        <v>46239</v>
      </c>
      <c r="U25" s="67">
        <f t="shared" si="15"/>
        <v>1</v>
      </c>
      <c r="V25" s="78">
        <f t="shared" si="16"/>
        <v>200000</v>
      </c>
      <c r="W25" s="79">
        <f t="shared" si="17"/>
        <v>5</v>
      </c>
      <c r="X25" s="80" t="s">
        <v>23</v>
      </c>
      <c r="Y25" s="7"/>
    </row>
    <row r="26" spans="1:25" x14ac:dyDescent="0.35">
      <c r="A26" s="35">
        <v>46239</v>
      </c>
      <c r="B26" s="59" t="s">
        <v>67</v>
      </c>
      <c r="C26" s="62" t="s">
        <v>5</v>
      </c>
      <c r="D26" s="59" t="s">
        <v>64</v>
      </c>
      <c r="E26" s="7" t="s">
        <v>6</v>
      </c>
      <c r="F26" s="31" t="s">
        <v>7</v>
      </c>
      <c r="G26" s="8">
        <v>220000</v>
      </c>
      <c r="H26" s="7">
        <v>3</v>
      </c>
      <c r="I26" s="4">
        <f t="shared" si="0"/>
        <v>660000</v>
      </c>
      <c r="J26" s="20" t="s">
        <v>31</v>
      </c>
      <c r="K26" s="70" t="s">
        <v>5</v>
      </c>
      <c r="L26" s="75"/>
      <c r="M26" s="58" t="str">
        <f t="shared" si="10"/>
        <v>SCAM IN HILOOK THCT120-PS AUDIO SECOND</v>
      </c>
      <c r="N26" s="7" t="str">
        <f t="shared" si="11"/>
        <v>PCS</v>
      </c>
      <c r="O26" s="1" t="str">
        <f t="shared" si="12"/>
        <v>ASET</v>
      </c>
      <c r="P26" s="68">
        <f t="shared" si="13"/>
        <v>220000</v>
      </c>
      <c r="Q26" s="2">
        <v>46239</v>
      </c>
      <c r="R26" s="1">
        <v>3</v>
      </c>
      <c r="S26" s="4">
        <f t="shared" si="14"/>
        <v>660000</v>
      </c>
      <c r="T26" s="2">
        <v>46239</v>
      </c>
      <c r="U26" s="1">
        <f t="shared" si="15"/>
        <v>3</v>
      </c>
      <c r="V26" s="8">
        <f t="shared" si="16"/>
        <v>660000</v>
      </c>
      <c r="W26" s="17">
        <f t="shared" si="17"/>
        <v>5</v>
      </c>
      <c r="X26" s="18" t="s">
        <v>23</v>
      </c>
      <c r="Y26" s="7"/>
    </row>
    <row r="27" spans="1:25" x14ac:dyDescent="0.35">
      <c r="A27" s="40">
        <v>46239</v>
      </c>
      <c r="B27" s="59" t="s">
        <v>67</v>
      </c>
      <c r="C27" s="62" t="s">
        <v>5</v>
      </c>
      <c r="D27" s="59" t="s">
        <v>65</v>
      </c>
      <c r="E27" s="7" t="s">
        <v>6</v>
      </c>
      <c r="F27" s="36" t="s">
        <v>7</v>
      </c>
      <c r="G27" s="8">
        <v>260000</v>
      </c>
      <c r="H27" s="7">
        <v>1</v>
      </c>
      <c r="I27" s="68">
        <f t="shared" si="0"/>
        <v>260000</v>
      </c>
      <c r="J27" s="20" t="s">
        <v>31</v>
      </c>
      <c r="K27" s="70" t="s">
        <v>5</v>
      </c>
      <c r="L27" s="75"/>
      <c r="M27" s="88" t="str">
        <f t="shared" si="10"/>
        <v>SCAM OUT HIK ANALOG NON AUDIO SECOND</v>
      </c>
      <c r="N27" s="72" t="str">
        <f t="shared" si="11"/>
        <v>PCS</v>
      </c>
      <c r="O27" s="89" t="str">
        <f t="shared" si="12"/>
        <v>ASET</v>
      </c>
      <c r="P27" s="77">
        <f t="shared" si="13"/>
        <v>260000</v>
      </c>
      <c r="Q27" s="2">
        <v>46239</v>
      </c>
      <c r="R27" s="67">
        <v>1</v>
      </c>
      <c r="S27" s="68">
        <f t="shared" si="14"/>
        <v>260000</v>
      </c>
      <c r="T27" s="2">
        <v>46239</v>
      </c>
      <c r="U27" s="67">
        <f t="shared" si="15"/>
        <v>1</v>
      </c>
      <c r="V27" s="78">
        <f t="shared" si="16"/>
        <v>260000</v>
      </c>
      <c r="W27" s="79">
        <f t="shared" si="17"/>
        <v>5</v>
      </c>
      <c r="X27" s="80" t="s">
        <v>23</v>
      </c>
      <c r="Y27" s="7"/>
    </row>
    <row r="28" spans="1:25" x14ac:dyDescent="0.35">
      <c r="A28" s="35">
        <v>46239</v>
      </c>
      <c r="B28" s="59" t="s">
        <v>67</v>
      </c>
      <c r="C28" s="84" t="s">
        <v>5</v>
      </c>
      <c r="D28" s="59" t="s">
        <v>66</v>
      </c>
      <c r="E28" s="7" t="s">
        <v>6</v>
      </c>
      <c r="F28" s="31" t="s">
        <v>7</v>
      </c>
      <c r="G28" s="8">
        <v>1269000</v>
      </c>
      <c r="H28" s="7">
        <v>1</v>
      </c>
      <c r="I28" s="4">
        <f t="shared" si="0"/>
        <v>1269000</v>
      </c>
      <c r="J28" s="20" t="s">
        <v>31</v>
      </c>
      <c r="K28" s="70" t="s">
        <v>5</v>
      </c>
      <c r="L28" s="75"/>
      <c r="M28" s="58" t="str">
        <f t="shared" si="10"/>
        <v>PC CORE I3 3240 SECOND</v>
      </c>
      <c r="N28" s="7" t="str">
        <f t="shared" si="11"/>
        <v>PCS</v>
      </c>
      <c r="O28" s="1" t="str">
        <f t="shared" si="12"/>
        <v>ASET</v>
      </c>
      <c r="P28" s="68">
        <f t="shared" si="13"/>
        <v>1269000</v>
      </c>
      <c r="Q28" s="2">
        <v>46239</v>
      </c>
      <c r="R28" s="1">
        <v>1</v>
      </c>
      <c r="S28" s="4">
        <f t="shared" si="14"/>
        <v>1269000</v>
      </c>
      <c r="T28" s="2">
        <v>46239</v>
      </c>
      <c r="U28" s="1">
        <f t="shared" si="15"/>
        <v>1</v>
      </c>
      <c r="V28" s="8">
        <f t="shared" si="16"/>
        <v>1269000</v>
      </c>
      <c r="W28" s="17">
        <f t="shared" si="17"/>
        <v>5</v>
      </c>
      <c r="X28" s="18" t="s">
        <v>23</v>
      </c>
      <c r="Y28" s="7"/>
    </row>
    <row r="29" spans="1:25" x14ac:dyDescent="0.35">
      <c r="A29" s="40">
        <v>46239</v>
      </c>
      <c r="B29" s="59" t="s">
        <v>67</v>
      </c>
      <c r="C29" s="62" t="s">
        <v>5</v>
      </c>
      <c r="D29" s="59" t="s">
        <v>35</v>
      </c>
      <c r="E29" s="7" t="s">
        <v>6</v>
      </c>
      <c r="F29" s="31" t="s">
        <v>7</v>
      </c>
      <c r="G29" s="8">
        <v>7200000</v>
      </c>
      <c r="H29" s="7">
        <v>1</v>
      </c>
      <c r="I29" s="68">
        <f t="shared" si="0"/>
        <v>7200000</v>
      </c>
      <c r="J29" s="20" t="s">
        <v>31</v>
      </c>
      <c r="K29" s="70" t="s">
        <v>68</v>
      </c>
      <c r="L29" s="75"/>
      <c r="M29" s="88" t="str">
        <f t="shared" si="10"/>
        <v>TIMBANGAN DIGI SM 100 CHINA SECOND</v>
      </c>
      <c r="N29" s="72" t="str">
        <f t="shared" si="11"/>
        <v>PCS</v>
      </c>
      <c r="O29" s="89" t="str">
        <f t="shared" si="12"/>
        <v>ASET</v>
      </c>
      <c r="P29" s="77">
        <f t="shared" si="13"/>
        <v>7200000</v>
      </c>
      <c r="Q29" s="2">
        <v>46239</v>
      </c>
      <c r="R29" s="67">
        <v>1</v>
      </c>
      <c r="S29" s="68">
        <f t="shared" si="14"/>
        <v>7200000</v>
      </c>
      <c r="T29" s="2">
        <v>46239</v>
      </c>
      <c r="U29" s="67">
        <f t="shared" si="15"/>
        <v>1</v>
      </c>
      <c r="V29" s="78">
        <f t="shared" si="16"/>
        <v>7200000</v>
      </c>
      <c r="W29" s="79">
        <f t="shared" si="17"/>
        <v>5</v>
      </c>
      <c r="X29" s="18" t="s">
        <v>23</v>
      </c>
      <c r="Y29" s="7" t="s">
        <v>68</v>
      </c>
    </row>
    <row r="30" spans="1:25" x14ac:dyDescent="0.35">
      <c r="A30" s="35">
        <v>46239</v>
      </c>
      <c r="B30" s="7" t="s">
        <v>75</v>
      </c>
      <c r="C30" s="62" t="s">
        <v>5</v>
      </c>
      <c r="D30" s="59" t="s">
        <v>38</v>
      </c>
      <c r="E30" s="7" t="s">
        <v>6</v>
      </c>
      <c r="F30" s="31" t="s">
        <v>7</v>
      </c>
      <c r="G30" s="8">
        <v>10000</v>
      </c>
      <c r="H30" s="7">
        <v>18</v>
      </c>
      <c r="I30" s="4">
        <f t="shared" ref="I30:I37" si="18">G30*H30</f>
        <v>180000</v>
      </c>
      <c r="J30" s="20" t="s">
        <v>31</v>
      </c>
      <c r="K30" s="70" t="s">
        <v>5</v>
      </c>
      <c r="L30" s="75"/>
      <c r="M30" s="58" t="str">
        <f t="shared" si="10"/>
        <v>KERANJANG MINIMARKET MIRANI SECOND</v>
      </c>
      <c r="N30" s="7" t="str">
        <f t="shared" si="11"/>
        <v>PCS</v>
      </c>
      <c r="O30" s="1" t="str">
        <f t="shared" si="12"/>
        <v>ASET</v>
      </c>
      <c r="P30" s="68">
        <f t="shared" si="13"/>
        <v>10000</v>
      </c>
      <c r="Q30" s="2">
        <v>46239</v>
      </c>
      <c r="R30" s="1">
        <v>18</v>
      </c>
      <c r="S30" s="4">
        <f t="shared" si="14"/>
        <v>180000</v>
      </c>
      <c r="T30" s="2">
        <v>46239</v>
      </c>
      <c r="U30" s="1">
        <f t="shared" si="15"/>
        <v>18</v>
      </c>
      <c r="V30" s="8">
        <f t="shared" si="16"/>
        <v>180000</v>
      </c>
      <c r="W30" s="17">
        <f t="shared" si="17"/>
        <v>5</v>
      </c>
      <c r="X30" s="18" t="s">
        <v>23</v>
      </c>
      <c r="Y30" s="7"/>
    </row>
    <row r="31" spans="1:25" x14ac:dyDescent="0.35">
      <c r="A31" s="40">
        <v>46239</v>
      </c>
      <c r="B31" s="7" t="s">
        <v>75</v>
      </c>
      <c r="C31" s="62" t="s">
        <v>5</v>
      </c>
      <c r="D31" s="59" t="s">
        <v>69</v>
      </c>
      <c r="E31" s="7" t="s">
        <v>6</v>
      </c>
      <c r="F31" s="31" t="s">
        <v>7</v>
      </c>
      <c r="G31" s="8">
        <v>60000</v>
      </c>
      <c r="H31" s="7">
        <v>1</v>
      </c>
      <c r="I31" s="68">
        <f t="shared" si="18"/>
        <v>60000</v>
      </c>
      <c r="J31" s="20" t="s">
        <v>31</v>
      </c>
      <c r="K31" s="70" t="s">
        <v>5</v>
      </c>
      <c r="L31" s="75"/>
      <c r="M31" s="88" t="str">
        <f t="shared" si="10"/>
        <v>TIMBANGAN DIGITAL MINATO SECOND</v>
      </c>
      <c r="N31" s="72" t="str">
        <f t="shared" si="11"/>
        <v>PCS</v>
      </c>
      <c r="O31" s="89" t="str">
        <f t="shared" si="12"/>
        <v>ASET</v>
      </c>
      <c r="P31" s="77">
        <f t="shared" si="13"/>
        <v>60000</v>
      </c>
      <c r="Q31" s="2">
        <v>46239</v>
      </c>
      <c r="R31" s="67">
        <v>1</v>
      </c>
      <c r="S31" s="68">
        <f t="shared" si="14"/>
        <v>60000</v>
      </c>
      <c r="T31" s="2">
        <v>46239</v>
      </c>
      <c r="U31" s="67">
        <f t="shared" si="15"/>
        <v>1</v>
      </c>
      <c r="V31" s="78">
        <f t="shared" si="16"/>
        <v>60000</v>
      </c>
      <c r="W31" s="79">
        <f t="shared" si="17"/>
        <v>5</v>
      </c>
      <c r="X31" s="18" t="s">
        <v>23</v>
      </c>
      <c r="Y31" s="7"/>
    </row>
    <row r="32" spans="1:25" x14ac:dyDescent="0.35">
      <c r="A32" s="35">
        <v>46239</v>
      </c>
      <c r="B32" s="7" t="s">
        <v>75</v>
      </c>
      <c r="C32" s="62" t="s">
        <v>5</v>
      </c>
      <c r="D32" s="59" t="s">
        <v>70</v>
      </c>
      <c r="E32" s="7" t="s">
        <v>6</v>
      </c>
      <c r="F32" s="31" t="s">
        <v>7</v>
      </c>
      <c r="G32" s="8">
        <v>450000</v>
      </c>
      <c r="H32" s="7">
        <v>1</v>
      </c>
      <c r="I32" s="4">
        <f t="shared" si="18"/>
        <v>450000</v>
      </c>
      <c r="J32" s="20" t="s">
        <v>31</v>
      </c>
      <c r="K32" s="70" t="s">
        <v>5</v>
      </c>
      <c r="L32" s="75"/>
      <c r="M32" s="58" t="str">
        <f t="shared" si="10"/>
        <v>MONITOR LG 19 INCH SECOND</v>
      </c>
      <c r="N32" s="7" t="str">
        <f t="shared" si="11"/>
        <v>PCS</v>
      </c>
      <c r="O32" s="1" t="str">
        <f t="shared" si="12"/>
        <v>ASET</v>
      </c>
      <c r="P32" s="68">
        <f t="shared" si="13"/>
        <v>450000</v>
      </c>
      <c r="Q32" s="2">
        <v>46239</v>
      </c>
      <c r="R32" s="1">
        <v>1</v>
      </c>
      <c r="S32" s="4">
        <f t="shared" si="14"/>
        <v>450000</v>
      </c>
      <c r="T32" s="2">
        <v>46239</v>
      </c>
      <c r="U32" s="1">
        <f t="shared" si="15"/>
        <v>1</v>
      </c>
      <c r="V32" s="8">
        <f t="shared" si="16"/>
        <v>450000</v>
      </c>
      <c r="W32" s="17">
        <f t="shared" si="17"/>
        <v>5</v>
      </c>
      <c r="X32" s="18" t="s">
        <v>23</v>
      </c>
      <c r="Y32" s="7"/>
    </row>
    <row r="33" spans="1:25" x14ac:dyDescent="0.35">
      <c r="A33" s="40">
        <v>46239</v>
      </c>
      <c r="B33" s="7" t="s">
        <v>75</v>
      </c>
      <c r="C33" s="62" t="s">
        <v>5</v>
      </c>
      <c r="D33" s="59" t="s">
        <v>71</v>
      </c>
      <c r="E33" s="7" t="s">
        <v>51</v>
      </c>
      <c r="F33" s="31" t="s">
        <v>7</v>
      </c>
      <c r="G33" s="8">
        <v>85000</v>
      </c>
      <c r="H33" s="7">
        <v>1</v>
      </c>
      <c r="I33" s="68">
        <f t="shared" si="18"/>
        <v>85000</v>
      </c>
      <c r="J33" s="20" t="s">
        <v>31</v>
      </c>
      <c r="K33" s="70" t="s">
        <v>5</v>
      </c>
      <c r="L33" s="75"/>
      <c r="M33" s="88" t="str">
        <f t="shared" si="10"/>
        <v>MOUSE KEYBOARD LOGITECH MK120 SECOND</v>
      </c>
      <c r="N33" s="72" t="str">
        <f t="shared" si="11"/>
        <v>PCS</v>
      </c>
      <c r="O33" s="89" t="str">
        <f t="shared" si="12"/>
        <v>OPERASIONAL</v>
      </c>
      <c r="P33" s="77">
        <f t="shared" si="13"/>
        <v>85000</v>
      </c>
      <c r="Q33" s="2">
        <v>46239</v>
      </c>
      <c r="R33" s="67">
        <v>1</v>
      </c>
      <c r="S33" s="68">
        <f t="shared" si="14"/>
        <v>85000</v>
      </c>
      <c r="T33" s="2">
        <v>46239</v>
      </c>
      <c r="U33" s="67">
        <f t="shared" si="15"/>
        <v>1</v>
      </c>
      <c r="V33" s="78">
        <f t="shared" si="16"/>
        <v>85000</v>
      </c>
      <c r="W33" s="79">
        <f t="shared" si="17"/>
        <v>5</v>
      </c>
      <c r="X33" s="18" t="s">
        <v>23</v>
      </c>
      <c r="Y33" s="7"/>
    </row>
    <row r="34" spans="1:25" x14ac:dyDescent="0.35">
      <c r="A34" s="35">
        <v>46239</v>
      </c>
      <c r="B34" s="7" t="s">
        <v>75</v>
      </c>
      <c r="C34" s="62" t="s">
        <v>5</v>
      </c>
      <c r="D34" s="59" t="s">
        <v>72</v>
      </c>
      <c r="E34" s="7" t="s">
        <v>6</v>
      </c>
      <c r="F34" s="31" t="s">
        <v>7</v>
      </c>
      <c r="G34" s="8">
        <v>100000</v>
      </c>
      <c r="H34" s="7">
        <v>1</v>
      </c>
      <c r="I34" s="4">
        <f t="shared" si="18"/>
        <v>100000</v>
      </c>
      <c r="J34" s="20" t="s">
        <v>31</v>
      </c>
      <c r="K34" s="70" t="s">
        <v>5</v>
      </c>
      <c r="L34" s="75"/>
      <c r="M34" s="58" t="str">
        <f t="shared" si="10"/>
        <v>SCANNER CD680 CODESHOP SECOND</v>
      </c>
      <c r="N34" s="7" t="str">
        <f t="shared" si="11"/>
        <v>PCS</v>
      </c>
      <c r="O34" s="1" t="str">
        <f t="shared" si="12"/>
        <v>ASET</v>
      </c>
      <c r="P34" s="68">
        <f t="shared" si="13"/>
        <v>100000</v>
      </c>
      <c r="Q34" s="2">
        <v>46239</v>
      </c>
      <c r="R34" s="1">
        <v>1</v>
      </c>
      <c r="S34" s="4">
        <f t="shared" si="14"/>
        <v>100000</v>
      </c>
      <c r="T34" s="2">
        <v>46239</v>
      </c>
      <c r="U34" s="1">
        <f t="shared" si="15"/>
        <v>1</v>
      </c>
      <c r="V34" s="8">
        <f t="shared" si="16"/>
        <v>100000</v>
      </c>
      <c r="W34" s="17">
        <f t="shared" si="17"/>
        <v>5</v>
      </c>
      <c r="X34" s="18" t="s">
        <v>23</v>
      </c>
      <c r="Y34" s="7"/>
    </row>
    <row r="35" spans="1:25" x14ac:dyDescent="0.35">
      <c r="A35" s="40">
        <v>46239</v>
      </c>
      <c r="B35" s="7" t="s">
        <v>75</v>
      </c>
      <c r="C35" s="62" t="s">
        <v>5</v>
      </c>
      <c r="D35" s="59" t="s">
        <v>56</v>
      </c>
      <c r="E35" s="7" t="s">
        <v>6</v>
      </c>
      <c r="F35" s="31" t="s">
        <v>7</v>
      </c>
      <c r="G35" s="8">
        <v>300000</v>
      </c>
      <c r="H35" s="7">
        <v>1</v>
      </c>
      <c r="I35" s="68">
        <f t="shared" si="18"/>
        <v>300000</v>
      </c>
      <c r="J35" s="20" t="s">
        <v>31</v>
      </c>
      <c r="K35" s="70" t="s">
        <v>5</v>
      </c>
      <c r="L35" s="75"/>
      <c r="M35" s="88" t="str">
        <f t="shared" si="10"/>
        <v>PRINTER STRUK OIWARE SECOND</v>
      </c>
      <c r="N35" s="72" t="str">
        <f t="shared" si="11"/>
        <v>PCS</v>
      </c>
      <c r="O35" s="89" t="str">
        <f t="shared" si="12"/>
        <v>ASET</v>
      </c>
      <c r="P35" s="77">
        <f t="shared" si="13"/>
        <v>300000</v>
      </c>
      <c r="Q35" s="2">
        <v>46239</v>
      </c>
      <c r="R35" s="67">
        <v>1</v>
      </c>
      <c r="S35" s="68">
        <f t="shared" si="14"/>
        <v>300000</v>
      </c>
      <c r="T35" s="2">
        <v>46239</v>
      </c>
      <c r="U35" s="67">
        <f t="shared" si="15"/>
        <v>1</v>
      </c>
      <c r="V35" s="78">
        <f t="shared" si="16"/>
        <v>300000</v>
      </c>
      <c r="W35" s="79">
        <f t="shared" si="17"/>
        <v>5</v>
      </c>
      <c r="X35" s="18" t="s">
        <v>23</v>
      </c>
      <c r="Y35" s="7"/>
    </row>
    <row r="36" spans="1:25" x14ac:dyDescent="0.35">
      <c r="A36" s="35">
        <v>46239</v>
      </c>
      <c r="B36" s="7" t="s">
        <v>75</v>
      </c>
      <c r="C36" s="62" t="s">
        <v>5</v>
      </c>
      <c r="D36" s="59" t="s">
        <v>73</v>
      </c>
      <c r="E36" s="7" t="s">
        <v>51</v>
      </c>
      <c r="F36" s="31" t="s">
        <v>7</v>
      </c>
      <c r="G36" s="8">
        <v>100000</v>
      </c>
      <c r="H36" s="7">
        <v>1</v>
      </c>
      <c r="I36" s="4">
        <f t="shared" si="18"/>
        <v>100000</v>
      </c>
      <c r="J36" s="20" t="s">
        <v>31</v>
      </c>
      <c r="K36" s="70" t="s">
        <v>5</v>
      </c>
      <c r="L36" s="75"/>
      <c r="M36" s="58" t="str">
        <f t="shared" si="10"/>
        <v>MONEY DETECTOR PROMAXI SECOND</v>
      </c>
      <c r="N36" s="7" t="str">
        <f t="shared" si="11"/>
        <v>PCS</v>
      </c>
      <c r="O36" s="1" t="str">
        <f t="shared" si="12"/>
        <v>OPERASIONAL</v>
      </c>
      <c r="P36" s="68">
        <f t="shared" si="13"/>
        <v>100000</v>
      </c>
      <c r="Q36" s="2">
        <v>46239</v>
      </c>
      <c r="R36" s="1">
        <v>1</v>
      </c>
      <c r="S36" s="4">
        <f t="shared" si="14"/>
        <v>100000</v>
      </c>
      <c r="T36" s="2">
        <v>46239</v>
      </c>
      <c r="U36" s="1">
        <f t="shared" si="15"/>
        <v>1</v>
      </c>
      <c r="V36" s="8">
        <f t="shared" si="16"/>
        <v>100000</v>
      </c>
      <c r="W36" s="17">
        <f t="shared" si="17"/>
        <v>5</v>
      </c>
      <c r="X36" s="18" t="s">
        <v>23</v>
      </c>
      <c r="Y36" s="7"/>
    </row>
    <row r="37" spans="1:25" x14ac:dyDescent="0.35">
      <c r="A37" s="40">
        <v>46239</v>
      </c>
      <c r="B37" s="7" t="s">
        <v>75</v>
      </c>
      <c r="C37" s="62" t="s">
        <v>5</v>
      </c>
      <c r="D37" s="59" t="s">
        <v>74</v>
      </c>
      <c r="E37" s="7" t="s">
        <v>6</v>
      </c>
      <c r="F37" s="31" t="s">
        <v>7</v>
      </c>
      <c r="G37" s="8">
        <v>3000000</v>
      </c>
      <c r="H37" s="7">
        <v>1</v>
      </c>
      <c r="I37" s="68">
        <f t="shared" si="18"/>
        <v>3000000</v>
      </c>
      <c r="J37" s="20" t="s">
        <v>31</v>
      </c>
      <c r="K37" s="70" t="s">
        <v>76</v>
      </c>
      <c r="L37" s="75"/>
      <c r="M37" s="88" t="str">
        <f t="shared" ref="M37" si="19">D37</f>
        <v>TIMBANGAN DIGI SM100 SECOND</v>
      </c>
      <c r="N37" s="72" t="str">
        <f t="shared" ref="N37" si="20">F37</f>
        <v>PCS</v>
      </c>
      <c r="O37" s="89" t="str">
        <f t="shared" ref="O37" si="21">E37</f>
        <v>ASET</v>
      </c>
      <c r="P37" s="77">
        <f t="shared" ref="P37" si="22">G37</f>
        <v>3000000</v>
      </c>
      <c r="Q37" s="2">
        <v>46239</v>
      </c>
      <c r="R37" s="7">
        <v>1</v>
      </c>
      <c r="S37" s="68">
        <f t="shared" si="14"/>
        <v>3000000</v>
      </c>
      <c r="T37" s="2">
        <v>46239</v>
      </c>
      <c r="U37" s="1">
        <f t="shared" si="15"/>
        <v>1</v>
      </c>
      <c r="V37" s="78">
        <f t="shared" ref="V37" si="23">U37*P37</f>
        <v>3000000</v>
      </c>
      <c r="W37" s="79">
        <f t="shared" ref="W37" si="24">IFERROR(DAY(T37),"")</f>
        <v>5</v>
      </c>
      <c r="X37" s="18" t="s">
        <v>23</v>
      </c>
      <c r="Y37" s="7" t="s">
        <v>76</v>
      </c>
    </row>
    <row r="38" spans="1:25" x14ac:dyDescent="0.3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 spans="1:25" x14ac:dyDescent="0.3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 spans="1:25" x14ac:dyDescent="0.3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</row>
    <row r="41" spans="1:25" x14ac:dyDescent="0.3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 spans="1:25" x14ac:dyDescent="0.3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spans="1:25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spans="1:25" x14ac:dyDescent="0.3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</sheetData>
  <autoFilter ref="A1:X37" xr:uid="{36D27230-9E6D-4D2D-A808-4D879B960F8F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E8BF-2167-4239-A55D-3EAC439798FC}">
  <dimension ref="A1:R44"/>
  <sheetViews>
    <sheetView zoomScale="75" workbookViewId="0">
      <selection activeCell="R8" sqref="R8"/>
    </sheetView>
  </sheetViews>
  <sheetFormatPr defaultRowHeight="14.5" x14ac:dyDescent="0.35"/>
  <cols>
    <col min="1" max="1" width="14.90625" bestFit="1" customWidth="1"/>
    <col min="2" max="2" width="11.26953125" bestFit="1" customWidth="1"/>
    <col min="3" max="3" width="20.1796875" bestFit="1" customWidth="1"/>
    <col min="4" max="4" width="13" bestFit="1" customWidth="1"/>
    <col min="5" max="5" width="40.453125" bestFit="1" customWidth="1"/>
    <col min="6" max="6" width="5.1796875" bestFit="1" customWidth="1"/>
    <col min="7" max="7" width="9.7265625" bestFit="1" customWidth="1"/>
    <col min="8" max="8" width="12.1796875" bestFit="1" customWidth="1"/>
    <col min="9" max="9" width="14.1796875" bestFit="1" customWidth="1"/>
    <col min="10" max="10" width="9.54296875" bestFit="1" customWidth="1"/>
    <col min="11" max="11" width="12.1796875" bestFit="1" customWidth="1"/>
    <col min="12" max="12" width="11.81640625" bestFit="1" customWidth="1"/>
    <col min="13" max="13" width="11.1796875" bestFit="1" customWidth="1"/>
    <col min="14" max="14" width="13.26953125" bestFit="1" customWidth="1"/>
    <col min="15" max="15" width="8.26953125" customWidth="1"/>
    <col min="16" max="16" width="10.81640625" customWidth="1"/>
    <col min="17" max="17" width="12.36328125" bestFit="1" customWidth="1"/>
    <col min="18" max="18" width="30.7265625" bestFit="1" customWidth="1"/>
  </cols>
  <sheetData>
    <row r="1" spans="1:18" x14ac:dyDescent="0.35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</v>
      </c>
      <c r="F1" s="10" t="s">
        <v>3</v>
      </c>
      <c r="G1" s="10" t="s">
        <v>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4</v>
      </c>
      <c r="N1" s="10" t="s">
        <v>18</v>
      </c>
      <c r="O1" s="11" t="s">
        <v>19</v>
      </c>
      <c r="P1" s="10" t="s">
        <v>20</v>
      </c>
      <c r="Q1" s="10" t="s">
        <v>21</v>
      </c>
      <c r="R1" s="10" t="s">
        <v>22</v>
      </c>
    </row>
    <row r="2" spans="1:18" s="30" customFormat="1" x14ac:dyDescent="0.35">
      <c r="A2" s="56" t="s">
        <v>77</v>
      </c>
      <c r="B2" s="56"/>
      <c r="C2" s="25" t="s">
        <v>80</v>
      </c>
      <c r="D2" s="24" t="s">
        <v>81</v>
      </c>
      <c r="E2" s="26" t="s">
        <v>84</v>
      </c>
      <c r="F2" s="24" t="s">
        <v>7</v>
      </c>
      <c r="G2" s="24" t="s">
        <v>85</v>
      </c>
      <c r="H2" s="27">
        <v>320000</v>
      </c>
      <c r="I2" s="28">
        <v>46238</v>
      </c>
      <c r="J2" s="24">
        <v>2</v>
      </c>
      <c r="K2" s="27">
        <f>J2*H2</f>
        <v>640000</v>
      </c>
      <c r="L2" s="29">
        <v>46238.600717592592</v>
      </c>
      <c r="M2" s="24">
        <v>2</v>
      </c>
      <c r="N2" s="27">
        <v>640000</v>
      </c>
      <c r="O2" s="24">
        <v>4</v>
      </c>
      <c r="P2" s="24" t="s">
        <v>23</v>
      </c>
      <c r="Q2" s="24" t="s">
        <v>34</v>
      </c>
      <c r="R2" s="26" t="s">
        <v>80</v>
      </c>
    </row>
    <row r="3" spans="1:18" s="30" customFormat="1" x14ac:dyDescent="0.35">
      <c r="A3" s="24" t="s">
        <v>78</v>
      </c>
      <c r="B3" s="56"/>
      <c r="C3" s="25" t="s">
        <v>82</v>
      </c>
      <c r="D3" s="24" t="s">
        <v>41</v>
      </c>
      <c r="E3" s="26" t="s">
        <v>40</v>
      </c>
      <c r="F3" s="24" t="s">
        <v>7</v>
      </c>
      <c r="G3" s="24" t="s">
        <v>85</v>
      </c>
      <c r="H3" s="27">
        <v>347000</v>
      </c>
      <c r="I3" s="28">
        <v>46238</v>
      </c>
      <c r="J3" s="24">
        <v>1</v>
      </c>
      <c r="K3" s="27">
        <f t="shared" ref="K3:K5" si="0">J3*H3</f>
        <v>347000</v>
      </c>
      <c r="L3" s="29">
        <v>46238.301099537035</v>
      </c>
      <c r="M3" s="24">
        <v>1</v>
      </c>
      <c r="N3" s="27">
        <v>347000</v>
      </c>
      <c r="O3" s="24">
        <v>4</v>
      </c>
      <c r="P3" s="24" t="s">
        <v>23</v>
      </c>
      <c r="Q3" s="24" t="s">
        <v>24</v>
      </c>
      <c r="R3" s="26" t="s">
        <v>82</v>
      </c>
    </row>
    <row r="4" spans="1:18" s="30" customFormat="1" x14ac:dyDescent="0.35">
      <c r="A4" s="24" t="s">
        <v>79</v>
      </c>
      <c r="B4" s="56"/>
      <c r="C4" s="25" t="s">
        <v>83</v>
      </c>
      <c r="D4" s="24" t="s">
        <v>41</v>
      </c>
      <c r="E4" s="26" t="s">
        <v>40</v>
      </c>
      <c r="F4" s="24" t="s">
        <v>7</v>
      </c>
      <c r="G4" s="24" t="s">
        <v>85</v>
      </c>
      <c r="H4" s="27">
        <v>347000</v>
      </c>
      <c r="I4" s="28">
        <v>46238</v>
      </c>
      <c r="J4" s="24">
        <v>1</v>
      </c>
      <c r="K4" s="27">
        <f t="shared" si="0"/>
        <v>347000</v>
      </c>
      <c r="L4" s="29">
        <v>46238.316550925927</v>
      </c>
      <c r="M4" s="24">
        <v>1</v>
      </c>
      <c r="N4" s="27">
        <v>347000</v>
      </c>
      <c r="O4" s="24">
        <v>4</v>
      </c>
      <c r="P4" s="24" t="s">
        <v>23</v>
      </c>
      <c r="Q4" s="24" t="s">
        <v>39</v>
      </c>
      <c r="R4" s="26" t="s">
        <v>83</v>
      </c>
    </row>
    <row r="5" spans="1:18" s="30" customFormat="1" x14ac:dyDescent="0.35">
      <c r="A5" s="24"/>
      <c r="B5" s="56"/>
      <c r="C5" s="25"/>
      <c r="D5" s="24"/>
      <c r="E5" s="26"/>
      <c r="F5" s="24"/>
      <c r="G5" s="24"/>
      <c r="H5" s="27"/>
      <c r="I5" s="28"/>
      <c r="J5" s="24"/>
      <c r="K5" s="27"/>
      <c r="L5" s="29"/>
      <c r="M5" s="24"/>
      <c r="N5" s="27"/>
      <c r="O5" s="24"/>
      <c r="P5" s="24"/>
      <c r="Q5" s="24"/>
      <c r="R5" s="26"/>
    </row>
    <row r="6" spans="1:18" s="30" customFormat="1" x14ac:dyDescent="0.35">
      <c r="A6" s="24"/>
      <c r="B6" s="56"/>
      <c r="C6" s="25"/>
      <c r="D6" s="24"/>
      <c r="E6" s="26"/>
      <c r="F6" s="24"/>
      <c r="G6" s="24"/>
      <c r="H6" s="27"/>
      <c r="I6" s="28"/>
      <c r="J6" s="24"/>
      <c r="K6" s="27"/>
      <c r="L6" s="29"/>
      <c r="M6" s="24"/>
      <c r="N6" s="27"/>
      <c r="O6" s="24"/>
      <c r="P6" s="24"/>
      <c r="Q6" s="24"/>
      <c r="R6" s="25"/>
    </row>
    <row r="7" spans="1:18" s="30" customFormat="1" x14ac:dyDescent="0.35">
      <c r="A7" s="24"/>
      <c r="B7" s="56"/>
      <c r="C7" s="25"/>
      <c r="D7" s="24"/>
      <c r="E7" s="26"/>
      <c r="F7" s="24"/>
      <c r="G7" s="24"/>
      <c r="H7" s="27"/>
      <c r="I7" s="28"/>
      <c r="J7" s="24"/>
      <c r="K7" s="27"/>
      <c r="L7" s="29"/>
      <c r="M7" s="24"/>
      <c r="N7" s="27"/>
      <c r="O7" s="24"/>
      <c r="P7" s="24"/>
      <c r="Q7" s="24"/>
      <c r="R7" s="26"/>
    </row>
    <row r="8" spans="1:18" s="30" customFormat="1" x14ac:dyDescent="0.35">
      <c r="A8" s="31"/>
      <c r="B8" s="56"/>
      <c r="C8" s="32"/>
      <c r="D8" s="31"/>
      <c r="E8" s="32"/>
      <c r="F8" s="24"/>
      <c r="G8" s="24"/>
      <c r="H8" s="21"/>
      <c r="I8" s="28"/>
      <c r="J8" s="24"/>
      <c r="K8" s="21"/>
      <c r="L8" s="28"/>
      <c r="M8" s="24"/>
      <c r="N8" s="33"/>
      <c r="O8" s="24"/>
      <c r="P8" s="24"/>
      <c r="Q8" s="24"/>
      <c r="R8" s="34"/>
    </row>
    <row r="9" spans="1:18" s="30" customFormat="1" x14ac:dyDescent="0.35">
      <c r="A9" s="31"/>
      <c r="B9" s="56"/>
      <c r="C9" s="32"/>
      <c r="D9" s="31"/>
      <c r="E9" s="32"/>
      <c r="F9" s="24"/>
      <c r="G9" s="24"/>
      <c r="H9" s="21"/>
      <c r="I9" s="28"/>
      <c r="J9" s="24"/>
      <c r="K9" s="21"/>
      <c r="L9" s="28"/>
      <c r="M9" s="24"/>
      <c r="N9" s="33"/>
      <c r="O9" s="24"/>
      <c r="P9" s="24"/>
      <c r="Q9" s="24"/>
      <c r="R9" s="34"/>
    </row>
    <row r="10" spans="1:18" s="30" customFormat="1" x14ac:dyDescent="0.35">
      <c r="A10" s="31"/>
      <c r="B10" s="56"/>
      <c r="C10" s="32"/>
      <c r="D10" s="31"/>
      <c r="E10" s="32"/>
      <c r="F10" s="24"/>
      <c r="G10" s="24"/>
      <c r="H10" s="21"/>
      <c r="I10" s="28"/>
      <c r="J10" s="24"/>
      <c r="K10" s="21"/>
      <c r="L10" s="28"/>
      <c r="M10" s="24"/>
      <c r="N10" s="33"/>
      <c r="O10" s="24"/>
      <c r="P10" s="24"/>
      <c r="Q10" s="24"/>
      <c r="R10" s="34"/>
    </row>
    <row r="11" spans="1:18" s="30" customFormat="1" x14ac:dyDescent="0.35">
      <c r="A11" s="31"/>
      <c r="B11" s="56"/>
      <c r="C11" s="32"/>
      <c r="D11" s="31"/>
      <c r="E11" s="32"/>
      <c r="F11" s="24"/>
      <c r="G11" s="24"/>
      <c r="H11" s="21"/>
      <c r="I11" s="35"/>
      <c r="J11" s="24"/>
      <c r="K11" s="21"/>
      <c r="L11" s="35"/>
      <c r="M11" s="24"/>
      <c r="N11" s="21"/>
      <c r="O11" s="24"/>
      <c r="P11" s="24"/>
      <c r="Q11" s="24"/>
      <c r="R11" s="60"/>
    </row>
    <row r="12" spans="1:18" s="30" customFormat="1" x14ac:dyDescent="0.35">
      <c r="A12" s="31"/>
      <c r="B12" s="56"/>
      <c r="C12" s="32"/>
      <c r="D12" s="31"/>
      <c r="E12" s="32"/>
      <c r="F12" s="24"/>
      <c r="G12" s="24"/>
      <c r="H12" s="21"/>
      <c r="I12" s="35"/>
      <c r="J12" s="31"/>
      <c r="K12" s="21"/>
      <c r="L12" s="35"/>
      <c r="M12" s="24"/>
      <c r="N12" s="33"/>
      <c r="O12" s="24"/>
      <c r="P12" s="24"/>
      <c r="Q12" s="24"/>
      <c r="R12" s="32"/>
    </row>
    <row r="13" spans="1:18" s="30" customFormat="1" x14ac:dyDescent="0.35">
      <c r="A13" s="31"/>
      <c r="B13" s="56"/>
      <c r="C13" s="32"/>
      <c r="D13" s="31"/>
      <c r="E13" s="32"/>
      <c r="F13" s="24"/>
      <c r="G13" s="24"/>
      <c r="H13" s="21"/>
      <c r="I13" s="35"/>
      <c r="J13" s="31"/>
      <c r="K13" s="21"/>
      <c r="L13" s="35"/>
      <c r="M13" s="24"/>
      <c r="N13" s="33"/>
      <c r="O13" s="24"/>
      <c r="P13" s="24"/>
      <c r="Q13" s="24"/>
      <c r="R13" s="32"/>
    </row>
    <row r="14" spans="1:18" s="30" customFormat="1" x14ac:dyDescent="0.35">
      <c r="A14" s="36"/>
      <c r="B14" s="56"/>
      <c r="C14" s="50"/>
      <c r="D14" s="36"/>
      <c r="E14" s="38"/>
      <c r="F14" s="37"/>
      <c r="G14" s="37"/>
      <c r="H14" s="39"/>
      <c r="I14" s="40"/>
      <c r="J14" s="36"/>
      <c r="K14" s="39"/>
      <c r="L14" s="40"/>
      <c r="M14" s="37"/>
      <c r="N14" s="41"/>
      <c r="O14" s="24"/>
      <c r="P14" s="37"/>
      <c r="Q14" s="37"/>
      <c r="R14" s="61"/>
    </row>
    <row r="15" spans="1:18" s="30" customFormat="1" x14ac:dyDescent="0.35">
      <c r="A15" s="31"/>
      <c r="B15" s="56"/>
      <c r="C15" s="32"/>
      <c r="D15" s="31"/>
      <c r="E15" s="32"/>
      <c r="F15" s="24"/>
      <c r="G15" s="24"/>
      <c r="H15" s="21"/>
      <c r="I15" s="43"/>
      <c r="J15" s="47"/>
      <c r="K15" s="44"/>
      <c r="L15" s="35"/>
      <c r="M15" s="37"/>
      <c r="N15" s="21"/>
      <c r="O15" s="24"/>
      <c r="P15" s="37"/>
      <c r="Q15" s="37"/>
      <c r="R15" s="61"/>
    </row>
    <row r="16" spans="1:18" s="30" customFormat="1" x14ac:dyDescent="0.35">
      <c r="A16" s="31"/>
      <c r="B16" s="56"/>
      <c r="C16" s="42"/>
      <c r="D16" s="31"/>
      <c r="E16" s="32"/>
      <c r="F16" s="24"/>
      <c r="G16" s="24"/>
      <c r="H16" s="21"/>
      <c r="I16" s="35"/>
      <c r="J16" s="46"/>
      <c r="K16" s="21"/>
      <c r="L16" s="35"/>
      <c r="M16" s="24"/>
      <c r="N16" s="21"/>
      <c r="O16" s="24"/>
      <c r="P16" s="24"/>
      <c r="Q16" s="24"/>
      <c r="R16" s="61"/>
    </row>
    <row r="17" spans="1:18" s="30" customFormat="1" x14ac:dyDescent="0.35">
      <c r="A17" s="31"/>
      <c r="B17" s="56"/>
      <c r="C17" s="32"/>
      <c r="D17" s="31"/>
      <c r="E17" s="32"/>
      <c r="F17" s="37"/>
      <c r="G17" s="37"/>
      <c r="H17" s="21"/>
      <c r="I17" s="35"/>
      <c r="J17" s="36"/>
      <c r="K17" s="21"/>
      <c r="L17" s="35"/>
      <c r="M17" s="37"/>
      <c r="N17" s="21"/>
      <c r="O17" s="24"/>
      <c r="P17" s="37"/>
      <c r="Q17" s="37"/>
      <c r="R17" s="61"/>
    </row>
    <row r="18" spans="1:18" s="30" customFormat="1" x14ac:dyDescent="0.35">
      <c r="A18" s="1"/>
      <c r="B18" s="56"/>
      <c r="C18" s="32"/>
      <c r="D18" s="31"/>
      <c r="E18" s="32"/>
      <c r="F18" s="24"/>
      <c r="G18" s="24"/>
      <c r="H18" s="48"/>
      <c r="I18" s="35"/>
      <c r="J18" s="36"/>
      <c r="K18" s="48"/>
      <c r="L18" s="35"/>
      <c r="M18" s="37"/>
      <c r="N18" s="48"/>
      <c r="O18" s="24"/>
      <c r="P18" s="24"/>
      <c r="Q18" s="24"/>
      <c r="R18" s="61"/>
    </row>
    <row r="19" spans="1:18" s="30" customFormat="1" x14ac:dyDescent="0.35">
      <c r="A19" s="1"/>
      <c r="B19" s="56"/>
      <c r="C19" s="32"/>
      <c r="D19" s="31"/>
      <c r="E19" s="32"/>
      <c r="F19" s="24"/>
      <c r="G19" s="24"/>
      <c r="H19" s="48"/>
      <c r="I19" s="35"/>
      <c r="J19" s="36"/>
      <c r="K19" s="48"/>
      <c r="L19" s="35"/>
      <c r="M19" s="37"/>
      <c r="N19" s="48"/>
      <c r="O19" s="24"/>
      <c r="P19" s="37"/>
      <c r="Q19" s="24"/>
      <c r="R19" s="61"/>
    </row>
    <row r="20" spans="1:18" s="30" customFormat="1" x14ac:dyDescent="0.35">
      <c r="A20" s="31"/>
      <c r="B20" s="56"/>
      <c r="C20" s="32"/>
      <c r="D20" s="31"/>
      <c r="E20" s="32"/>
      <c r="F20" s="24"/>
      <c r="G20" s="24"/>
      <c r="H20" s="39"/>
      <c r="I20" s="35"/>
      <c r="J20" s="31"/>
      <c r="K20" s="21"/>
      <c r="L20" s="35"/>
      <c r="M20" s="37"/>
      <c r="N20" s="39"/>
      <c r="O20" s="24"/>
      <c r="P20" s="37"/>
      <c r="Q20" s="24"/>
      <c r="R20" s="32"/>
    </row>
    <row r="21" spans="1:18" s="30" customFormat="1" x14ac:dyDescent="0.35">
      <c r="A21" s="31"/>
      <c r="B21" s="56"/>
      <c r="C21" s="32"/>
      <c r="D21" s="31"/>
      <c r="E21" s="32"/>
      <c r="F21" s="24"/>
      <c r="G21" s="24"/>
      <c r="H21" s="48"/>
      <c r="I21" s="54"/>
      <c r="J21" s="31"/>
      <c r="K21" s="39"/>
      <c r="L21" s="43"/>
      <c r="M21" s="24"/>
      <c r="N21" s="48"/>
      <c r="O21" s="24"/>
      <c r="P21" s="24"/>
      <c r="Q21" s="45"/>
      <c r="R21" s="34"/>
    </row>
    <row r="22" spans="1:18" s="30" customFormat="1" x14ac:dyDescent="0.35">
      <c r="A22" s="31"/>
      <c r="B22" s="56"/>
      <c r="C22" s="32"/>
      <c r="D22" s="31"/>
      <c r="E22" s="32"/>
      <c r="F22" s="24"/>
      <c r="G22" s="24"/>
      <c r="H22" s="48"/>
      <c r="I22" s="54"/>
      <c r="J22" s="62"/>
      <c r="K22" s="48"/>
      <c r="L22" s="55"/>
      <c r="M22" s="24"/>
      <c r="N22" s="48"/>
      <c r="O22" s="24"/>
      <c r="P22" s="24"/>
      <c r="Q22" s="45"/>
      <c r="R22" s="34"/>
    </row>
    <row r="23" spans="1:18" s="30" customFormat="1" x14ac:dyDescent="0.35">
      <c r="A23" s="31"/>
      <c r="B23" s="56"/>
      <c r="C23" s="32"/>
      <c r="D23" s="31"/>
      <c r="E23" s="32"/>
      <c r="F23" s="24"/>
      <c r="G23" s="24"/>
      <c r="H23" s="48"/>
      <c r="I23" s="54"/>
      <c r="J23" s="62"/>
      <c r="K23" s="48"/>
      <c r="L23" s="55"/>
      <c r="M23" s="24"/>
      <c r="N23" s="48"/>
      <c r="O23" s="24"/>
      <c r="P23" s="24"/>
      <c r="Q23" s="45"/>
      <c r="R23" s="34"/>
    </row>
    <row r="24" spans="1:18" s="30" customFormat="1" x14ac:dyDescent="0.35">
      <c r="A24" s="31"/>
      <c r="B24" s="56"/>
      <c r="C24" s="32"/>
      <c r="D24" s="31"/>
      <c r="E24" s="32"/>
      <c r="F24" s="24"/>
      <c r="G24" s="24"/>
      <c r="H24" s="48"/>
      <c r="I24" s="54"/>
      <c r="J24" s="62"/>
      <c r="K24" s="48"/>
      <c r="L24" s="55"/>
      <c r="M24" s="24"/>
      <c r="N24" s="48"/>
      <c r="O24" s="24"/>
      <c r="P24" s="24"/>
      <c r="Q24" s="45"/>
      <c r="R24" s="34"/>
    </row>
    <row r="25" spans="1:18" s="30" customFormat="1" x14ac:dyDescent="0.35">
      <c r="A25" s="31"/>
      <c r="B25" s="56"/>
      <c r="C25" s="32"/>
      <c r="D25" s="31"/>
      <c r="E25" s="32"/>
      <c r="F25" s="24"/>
      <c r="G25" s="24"/>
      <c r="H25" s="48"/>
      <c r="I25" s="54"/>
      <c r="J25" s="62"/>
      <c r="K25" s="48"/>
      <c r="L25" s="55"/>
      <c r="M25" s="24"/>
      <c r="N25" s="48"/>
      <c r="O25" s="24"/>
      <c r="P25" s="24"/>
      <c r="Q25" s="45"/>
      <c r="R25" s="34"/>
    </row>
    <row r="26" spans="1:18" s="30" customFormat="1" x14ac:dyDescent="0.35">
      <c r="A26" s="31"/>
      <c r="B26" s="56"/>
      <c r="C26" s="32"/>
      <c r="D26" s="31"/>
      <c r="E26" s="32"/>
      <c r="F26" s="24"/>
      <c r="G26" s="24"/>
      <c r="H26" s="48"/>
      <c r="I26" s="54"/>
      <c r="J26" s="62"/>
      <c r="K26" s="48"/>
      <c r="L26" s="55"/>
      <c r="M26" s="24"/>
      <c r="N26" s="48"/>
      <c r="O26" s="24"/>
      <c r="P26" s="24"/>
      <c r="Q26" s="45"/>
      <c r="R26" s="34"/>
    </row>
    <row r="27" spans="1:18" s="30" customFormat="1" x14ac:dyDescent="0.35">
      <c r="A27" s="31"/>
      <c r="B27" s="56"/>
      <c r="C27" s="32"/>
      <c r="D27" s="31"/>
      <c r="E27" s="32"/>
      <c r="F27" s="24"/>
      <c r="G27" s="24"/>
      <c r="H27" s="48"/>
      <c r="I27" s="54"/>
      <c r="J27" s="62"/>
      <c r="K27" s="48"/>
      <c r="L27" s="55"/>
      <c r="M27" s="24"/>
      <c r="N27" s="48"/>
      <c r="O27" s="24"/>
      <c r="P27" s="24"/>
      <c r="Q27" s="45"/>
      <c r="R27" s="34"/>
    </row>
    <row r="28" spans="1:18" s="30" customFormat="1" x14ac:dyDescent="0.35">
      <c r="A28" s="31"/>
      <c r="B28" s="56"/>
      <c r="C28" s="32"/>
      <c r="D28" s="31"/>
      <c r="E28" s="32"/>
      <c r="F28" s="24"/>
      <c r="G28" s="24"/>
      <c r="H28" s="48"/>
      <c r="I28" s="54"/>
      <c r="J28" s="62"/>
      <c r="K28" s="48"/>
      <c r="L28" s="55"/>
      <c r="M28" s="24"/>
      <c r="N28" s="48"/>
      <c r="O28" s="24"/>
      <c r="P28" s="24"/>
      <c r="Q28" s="45"/>
      <c r="R28" s="34"/>
    </row>
    <row r="29" spans="1:18" s="30" customFormat="1" x14ac:dyDescent="0.35">
      <c r="A29" s="31"/>
      <c r="B29" s="56"/>
      <c r="C29" s="32"/>
      <c r="D29" s="31"/>
      <c r="E29" s="32"/>
      <c r="F29" s="24"/>
      <c r="G29" s="24"/>
      <c r="H29" s="48"/>
      <c r="I29" s="54"/>
      <c r="J29" s="62"/>
      <c r="K29" s="48"/>
      <c r="L29" s="55"/>
      <c r="M29" s="24"/>
      <c r="N29" s="48"/>
      <c r="O29" s="24"/>
      <c r="P29" s="24"/>
      <c r="Q29" s="45"/>
      <c r="R29" s="34"/>
    </row>
    <row r="30" spans="1:18" s="30" customFormat="1" x14ac:dyDescent="0.35">
      <c r="A30" s="31"/>
      <c r="B30" s="56"/>
      <c r="C30" s="32"/>
      <c r="D30" s="31"/>
      <c r="E30" s="32"/>
      <c r="F30" s="24"/>
      <c r="G30" s="24"/>
      <c r="H30" s="48"/>
      <c r="I30" s="54"/>
      <c r="J30" s="62"/>
      <c r="K30" s="48"/>
      <c r="L30" s="55"/>
      <c r="M30" s="24"/>
      <c r="N30" s="48"/>
      <c r="O30" s="24"/>
      <c r="P30" s="24"/>
      <c r="Q30" s="45"/>
      <c r="R30" s="34"/>
    </row>
    <row r="31" spans="1:18" s="30" customFormat="1" x14ac:dyDescent="0.35">
      <c r="A31" s="31"/>
      <c r="B31" s="56"/>
      <c r="C31" s="32"/>
      <c r="D31" s="31"/>
      <c r="E31" s="32"/>
      <c r="F31" s="24"/>
      <c r="G31" s="24"/>
      <c r="H31" s="48"/>
      <c r="I31" s="54"/>
      <c r="J31" s="62"/>
      <c r="K31" s="48"/>
      <c r="L31" s="55"/>
      <c r="M31" s="24"/>
      <c r="N31" s="48"/>
      <c r="O31" s="24"/>
      <c r="P31" s="24"/>
      <c r="Q31" s="45"/>
      <c r="R31" s="34"/>
    </row>
    <row r="32" spans="1:18" s="30" customFormat="1" x14ac:dyDescent="0.35">
      <c r="A32" s="31"/>
      <c r="B32" s="56"/>
      <c r="C32" s="32"/>
      <c r="D32" s="31"/>
      <c r="E32" s="32"/>
      <c r="F32" s="24"/>
      <c r="G32" s="24"/>
      <c r="H32" s="48"/>
      <c r="I32" s="54"/>
      <c r="J32" s="62"/>
      <c r="K32" s="48"/>
      <c r="L32" s="55"/>
      <c r="M32" s="24"/>
      <c r="N32" s="48"/>
      <c r="O32" s="24"/>
      <c r="P32" s="24"/>
      <c r="Q32" s="45"/>
      <c r="R32" s="34"/>
    </row>
    <row r="33" spans="1:18" s="30" customFormat="1" x14ac:dyDescent="0.35">
      <c r="A33" s="1"/>
      <c r="B33" s="56"/>
      <c r="C33" s="32"/>
      <c r="D33" s="31"/>
      <c r="E33" s="32"/>
      <c r="F33" s="24"/>
      <c r="G33" s="24"/>
      <c r="H33" s="48"/>
      <c r="I33" s="54"/>
      <c r="J33" s="62"/>
      <c r="K33" s="48"/>
      <c r="L33" s="54"/>
      <c r="M33" s="24"/>
      <c r="N33" s="48"/>
      <c r="O33" s="24"/>
      <c r="P33" s="24"/>
      <c r="Q33" s="24"/>
      <c r="R33" s="61"/>
    </row>
    <row r="34" spans="1:18" s="30" customFormat="1" x14ac:dyDescent="0.35">
      <c r="A34" s="31"/>
      <c r="B34" s="56"/>
      <c r="C34" s="32"/>
      <c r="D34" s="31"/>
      <c r="E34" s="32"/>
      <c r="F34" s="24"/>
      <c r="G34" s="24"/>
      <c r="H34" s="48"/>
      <c r="I34" s="54"/>
      <c r="J34" s="62"/>
      <c r="K34" s="48"/>
      <c r="L34" s="55"/>
      <c r="M34" s="24"/>
      <c r="N34" s="48"/>
      <c r="O34" s="24"/>
      <c r="P34" s="24"/>
      <c r="Q34" s="63"/>
      <c r="R34" s="34"/>
    </row>
    <row r="35" spans="1:18" s="30" customFormat="1" x14ac:dyDescent="0.35">
      <c r="A35" s="31"/>
      <c r="B35" s="56"/>
      <c r="C35" s="32"/>
      <c r="D35" s="31"/>
      <c r="E35" s="32"/>
      <c r="F35" s="24"/>
      <c r="G35" s="24"/>
      <c r="H35" s="48"/>
      <c r="I35" s="54"/>
      <c r="J35" s="62"/>
      <c r="K35" s="48"/>
      <c r="L35" s="55"/>
      <c r="M35" s="24"/>
      <c r="N35" s="48"/>
      <c r="O35" s="24"/>
      <c r="P35" s="24"/>
      <c r="Q35" s="63"/>
      <c r="R35" s="34"/>
    </row>
    <row r="36" spans="1:18" s="30" customFormat="1" ht="16" customHeight="1" x14ac:dyDescent="0.35">
      <c r="A36" s="31"/>
      <c r="B36" s="24"/>
      <c r="C36" s="64"/>
      <c r="D36" s="31"/>
      <c r="E36" s="32"/>
      <c r="F36" s="24"/>
      <c r="G36" s="24"/>
      <c r="H36" s="48"/>
      <c r="I36" s="54"/>
      <c r="J36" s="62"/>
      <c r="K36" s="48"/>
      <c r="L36" s="55"/>
      <c r="M36" s="24"/>
      <c r="N36" s="48"/>
      <c r="O36" s="24"/>
      <c r="P36" s="24"/>
      <c r="Q36" s="63"/>
      <c r="R36" s="34"/>
    </row>
    <row r="37" spans="1:18" s="30" customFormat="1" x14ac:dyDescent="0.35">
      <c r="A37" s="31"/>
      <c r="B37" s="24"/>
      <c r="C37" s="32"/>
      <c r="D37" s="31"/>
      <c r="E37" s="32"/>
      <c r="F37" s="24"/>
      <c r="G37" s="24"/>
      <c r="H37" s="48"/>
      <c r="I37" s="54"/>
      <c r="J37" s="62"/>
      <c r="K37" s="48"/>
      <c r="L37" s="55"/>
      <c r="M37" s="24"/>
      <c r="N37" s="48"/>
      <c r="O37" s="24"/>
      <c r="P37" s="24"/>
      <c r="Q37" s="63"/>
      <c r="R37" s="34"/>
    </row>
    <row r="38" spans="1:18" s="30" customFormat="1" x14ac:dyDescent="0.35">
      <c r="A38" s="31"/>
      <c r="B38" s="24"/>
      <c r="C38" s="32"/>
      <c r="D38" s="31"/>
      <c r="E38" s="32"/>
      <c r="F38" s="24"/>
      <c r="G38" s="24"/>
      <c r="H38" s="48"/>
      <c r="I38" s="54"/>
      <c r="J38" s="62"/>
      <c r="K38" s="48"/>
      <c r="L38" s="55"/>
      <c r="M38" s="24"/>
      <c r="N38" s="48"/>
      <c r="O38" s="24"/>
      <c r="P38" s="24"/>
      <c r="Q38" s="45"/>
      <c r="R38" s="34"/>
    </row>
    <row r="39" spans="1:18" s="30" customFormat="1" x14ac:dyDescent="0.35">
      <c r="A39" s="31"/>
      <c r="B39" s="24"/>
      <c r="C39" s="32"/>
      <c r="D39" s="31"/>
      <c r="E39" s="32"/>
      <c r="F39" s="24"/>
      <c r="G39" s="24"/>
      <c r="H39" s="48"/>
      <c r="I39" s="54"/>
      <c r="J39" s="62"/>
      <c r="K39" s="48"/>
      <c r="L39" s="55"/>
      <c r="M39" s="24"/>
      <c r="N39" s="48"/>
      <c r="O39" s="24"/>
      <c r="P39" s="24"/>
      <c r="Q39" s="45"/>
      <c r="R39" s="34"/>
    </row>
    <row r="40" spans="1:18" s="30" customFormat="1" x14ac:dyDescent="0.35">
      <c r="A40" s="31"/>
      <c r="B40" s="24"/>
      <c r="C40" s="32"/>
      <c r="D40" s="31"/>
      <c r="E40" s="32"/>
      <c r="F40" s="24"/>
      <c r="G40" s="24"/>
      <c r="H40" s="48"/>
      <c r="I40" s="54"/>
      <c r="J40" s="62"/>
      <c r="K40" s="48"/>
      <c r="L40" s="55"/>
      <c r="M40" s="24"/>
      <c r="N40" s="48"/>
      <c r="O40" s="24"/>
      <c r="P40" s="24"/>
      <c r="Q40" s="45"/>
      <c r="R40" s="34"/>
    </row>
    <row r="41" spans="1:18" s="30" customFormat="1" x14ac:dyDescent="0.35">
      <c r="A41" s="31"/>
      <c r="B41" s="24"/>
      <c r="C41" s="32"/>
      <c r="D41" s="31"/>
      <c r="E41" s="32"/>
      <c r="F41" s="24"/>
      <c r="G41" s="24"/>
      <c r="H41" s="48"/>
      <c r="I41" s="54"/>
      <c r="J41" s="62"/>
      <c r="K41" s="48"/>
      <c r="L41" s="55"/>
      <c r="M41" s="24"/>
      <c r="N41" s="48"/>
      <c r="O41" s="24"/>
      <c r="P41" s="24"/>
      <c r="Q41" s="45"/>
      <c r="R41" s="34"/>
    </row>
    <row r="42" spans="1:18" x14ac:dyDescent="0.35">
      <c r="A42" s="1"/>
      <c r="B42" s="24"/>
      <c r="C42" s="32"/>
      <c r="D42" s="1"/>
      <c r="E42" s="3"/>
      <c r="F42" s="24"/>
      <c r="G42" s="24"/>
      <c r="H42" s="52"/>
      <c r="I42" s="51"/>
      <c r="J42" s="31"/>
      <c r="K42" s="52"/>
      <c r="L42" s="53"/>
      <c r="M42" s="24"/>
      <c r="N42" s="52"/>
      <c r="O42" s="24"/>
      <c r="P42" s="24"/>
      <c r="Q42" s="45"/>
      <c r="R42" s="3"/>
    </row>
    <row r="44" spans="1:18" x14ac:dyDescent="0.35">
      <c r="A44" s="65" t="s">
        <v>32</v>
      </c>
      <c r="B44" s="65"/>
      <c r="C44" s="65"/>
    </row>
  </sheetData>
  <autoFilter ref="A1:R37" xr:uid="{A619E8BF-2167-4239-A55D-3EAC439798FC}"/>
  <mergeCells count="1">
    <mergeCell ref="A44:C44"/>
  </mergeCells>
  <phoneticPr fontId="4" type="noConversion"/>
  <conditionalFormatting sqref="C16">
    <cfRule type="duplicateValues" dxfId="4" priority="10"/>
  </conditionalFormatting>
  <conditionalFormatting sqref="C16">
    <cfRule type="duplicateValues" dxfId="3" priority="7"/>
    <cfRule type="duplicateValues" dxfId="2" priority="8"/>
    <cfRule type="duplicateValues" dxfId="1" priority="9"/>
  </conditionalFormatting>
  <conditionalFormatting sqref="C1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Pengalihan asset</vt:lpstr>
      <vt:lpstr>Invc penjualan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informationtechnologylb57@gmail.com</dc:creator>
  <cp:lastModifiedBy>informationtechnologylb57@gmail.com</cp:lastModifiedBy>
  <dcterms:created xsi:type="dcterms:W3CDTF">2026-06-21T08:04:30Z</dcterms:created>
  <dcterms:modified xsi:type="dcterms:W3CDTF">2026-08-05T02:52:09Z</dcterms:modified>
</cp:coreProperties>
</file>